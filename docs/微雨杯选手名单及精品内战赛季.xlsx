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4900" activeTab="3"/>
  </bookViews>
  <sheets>
    <sheet name="S2赛程" sheetId="1" r:id="rId1"/>
    <sheet name="S2拍卖" sheetId="2" r:id="rId2"/>
    <sheet name="微雨杯比赛规则" sheetId="3" r:id="rId3"/>
    <sheet name="S2名单" sheetId="4" r:id="rId4"/>
    <sheet name="S2" sheetId="5" r:id="rId5"/>
    <sheet name="选手名单" sheetId="6" r:id="rId6"/>
    <sheet name="微雨杯赛季记录" sheetId="7" r:id="rId7"/>
    <sheet name="S2名单(草稿)" sheetId="8" r:id="rId8"/>
    <sheet name="截至20260318参加过内战名单" sheetId="9" r:id="rId9"/>
    <sheet name="拍卖规则" sheetId="10" r:id="rId10"/>
    <sheet name="为爱发电记录表" sheetId="11" r:id="rId11"/>
    <sheet name="组委会名单" sheetId="12" r:id="rId12"/>
    <sheet name="0317内战" sheetId="13" r:id="rId13"/>
    <sheet name="0315内战" sheetId="14" r:id="rId14"/>
    <sheet name="0313内战" sheetId="15" r:id="rId15"/>
    <sheet name="0311内战" sheetId="16" r:id="rId16"/>
    <sheet name="0306内战" sheetId="17" r:id="rId17"/>
    <sheet name="0304内战" sheetId="18" r:id="rId18"/>
    <sheet name="0302内战" sheetId="19" r:id="rId19"/>
    <sheet name="2.13内战" sheetId="20" r:id="rId20"/>
    <sheet name="2.12内战" sheetId="21" r:id="rId21"/>
    <sheet name="2.11内战" sheetId="22" r:id="rId22"/>
    <sheet name="2.10内战" sheetId="23" r:id="rId23"/>
    <sheet name="2.9内战" sheetId="24" r:id="rId24"/>
    <sheet name="2.8内战" sheetId="25" r:id="rId25"/>
    <sheet name="2.7内战" sheetId="26" r:id="rId26"/>
    <sheet name="2.6内战" sheetId="27" r:id="rId27"/>
    <sheet name="2.5内战" sheetId="28" state="hidden" r:id="rId28"/>
    <sheet name="经验教训总结库" sheetId="29" r:id="rId29"/>
  </sheets>
  <definedNames>
    <definedName name="_xlnm._FilterDatabase" localSheetId="20" hidden="1">'2.12内战'!$B$1:$H$42</definedName>
    <definedName name="_xlnm._FilterDatabase" localSheetId="25" hidden="1">'2.7内战'!$A$1:$G$66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<sst xmlns="http://schemas.openxmlformats.org/spreadsheetml/2006/main" count="4091" uniqueCount="877">
  <si>
    <t>steam链接</t>
  </si>
  <si>
    <t>队名</t>
  </si>
  <si>
    <t>胜</t>
  </si>
  <si>
    <t>负</t>
  </si>
  <si>
    <r>
      <rPr>
        <u/>
        <sz val="10"/>
        <color rgb="FF175CEB"/>
        <rFont val="宋体"/>
        <charset val="134"/>
      </rPr>
      <t>https://steamcommunity.com/profiles/76561198148199573/</t>
    </r>
  </si>
  <si>
    <t>赤夜紫雨（猛虎下山）</t>
  </si>
  <si>
    <t>W1</t>
  </si>
  <si>
    <r>
      <rPr>
        <u/>
        <sz val="10"/>
        <color rgb="FF175CEB"/>
        <rFont val="宋体"/>
        <charset val="134"/>
      </rPr>
      <t>https://steamcommunity.com/profiles/76561198114117906/</t>
    </r>
  </si>
  <si>
    <t>秋（Unbowed ）</t>
  </si>
  <si>
    <r>
      <rPr>
        <u/>
        <sz val="10"/>
        <color rgb="FF175CEB"/>
        <rFont val="宋体"/>
        <charset val="134"/>
      </rPr>
      <t>https://steamcommunity.com/profiles/76561198301936498/</t>
    </r>
  </si>
  <si>
    <t>大蟑螂（微雨绸缪2.0）</t>
  </si>
  <si>
    <t>W2</t>
  </si>
  <si>
    <t>兆焱（我冠了）</t>
  </si>
  <si>
    <t>大大大</t>
  </si>
  <si>
    <r>
      <rPr>
        <u/>
        <sz val="10"/>
        <color rgb="FF175CEB"/>
        <rFont val="宋体"/>
        <charset val="134"/>
      </rPr>
      <t>https://steamcommunity.com/profiles/76561198845853751/</t>
    </r>
  </si>
  <si>
    <t>yuuu（Chu Ni Byo）</t>
  </si>
  <si>
    <t>W3</t>
  </si>
  <si>
    <t>小小小</t>
  </si>
  <si>
    <r>
      <rPr>
        <u/>
        <sz val="10"/>
        <color rgb="FF175CEB"/>
        <rFont val="宋体"/>
        <charset val="134"/>
      </rPr>
      <t>https://steamcommunity.com/profiles/76561198216148128/</t>
    </r>
  </si>
  <si>
    <t>coconut（椰子岛）</t>
  </si>
  <si>
    <t>W4</t>
  </si>
  <si>
    <r>
      <rPr>
        <u/>
        <sz val="10"/>
        <color rgb="FF175CEB"/>
        <rFont val="宋体"/>
        <charset val="134"/>
      </rPr>
      <t>https://steamcommunity.com/profiles/76561198227985060/</t>
    </r>
  </si>
  <si>
    <t>summer（三万匹磁力）</t>
  </si>
  <si>
    <t>尤也（魂里尤猪仙）</t>
  </si>
  <si>
    <r>
      <rPr>
        <u/>
        <sz val="10"/>
        <color rgb="FF175CEB"/>
        <rFont val="宋体"/>
        <charset val="134"/>
      </rPr>
      <t>https://steamcommunity.com/profiles/76561198114295313/</t>
    </r>
  </si>
  <si>
    <t>蜡笔大雪（雪批的奇妙冒险）</t>
  </si>
  <si>
    <t>G</t>
  </si>
  <si>
    <r>
      <rPr>
        <u/>
        <sz val="9"/>
        <color rgb="FF175CEB"/>
        <rFont val="Motiva Sans"/>
        <charset val="134"/>
      </rPr>
      <t>https://steamcommunity.com/profiles/76561198341323392/</t>
    </r>
  </si>
  <si>
    <t>所念皆星河（神人之家）</t>
  </si>
  <si>
    <t>雲天河（YYPKW）</t>
  </si>
  <si>
    <t>starling（难民收容所）</t>
  </si>
  <si>
    <t>小组bo1循环（3.23~3.29）</t>
  </si>
  <si>
    <t>对战</t>
  </si>
  <si>
    <t>比赛</t>
  </si>
  <si>
    <t>截图</t>
  </si>
  <si>
    <t>赤夜紫雨（猛虎下山） VS 大蟑螂（微雨绸缪2.0）</t>
  </si>
  <si>
    <t>A VS B</t>
  </si>
  <si>
    <t>赤夜紫雨（猛虎下山） VS yuuu</t>
  </si>
  <si>
    <t>A VS C</t>
  </si>
  <si>
    <t>赤夜紫雨（猛虎下山） VS summer（三万匹磁力）</t>
  </si>
  <si>
    <t>A VS D</t>
  </si>
  <si>
    <t>赤夜紫雨（猛虎下山） VS 蜡笔大雪（雪批的奇妙冒险）</t>
  </si>
  <si>
    <t>A VS E</t>
  </si>
  <si>
    <t>赤夜紫雨（猛虎下山） VS 雲天河（YYPKW）</t>
  </si>
  <si>
    <t>A VS F</t>
  </si>
  <si>
    <t>大蟑螂（微雨绸缪2.0） VS yuuu</t>
  </si>
  <si>
    <t>B VS C</t>
  </si>
  <si>
    <t>大蟑螂（微雨绸缪2.0） VS summer（三万匹磁力）</t>
  </si>
  <si>
    <t>B VS D</t>
  </si>
  <si>
    <t>大蟑螂（微雨绸缪2.0） VS 蜡笔大雪（雪批的奇妙冒险）</t>
  </si>
  <si>
    <t>B VS E</t>
  </si>
  <si>
    <t>大蟑螂（微雨绸缪2.0） VS  雲天河（YYPKW）</t>
  </si>
  <si>
    <t>B VS  F</t>
  </si>
  <si>
    <t>yuuu VS summer（三万匹磁力）</t>
  </si>
  <si>
    <t>C VS D</t>
  </si>
  <si>
    <t>yuuu VS 蜡笔大雪（雪批的奇妙冒险）</t>
  </si>
  <si>
    <t>C VS E</t>
  </si>
  <si>
    <t>yuuu VS 雲天河（YYPKW）</t>
  </si>
  <si>
    <t>C VS F</t>
  </si>
  <si>
    <t>summer（三万匹磁力） VS 蜡笔大雪（雪批的奇妙冒险）</t>
  </si>
  <si>
    <t>D VS E</t>
  </si>
  <si>
    <t>summer（三万匹磁力） VS 雲天河（YYPKW）</t>
  </si>
  <si>
    <t>D VS F</t>
  </si>
  <si>
    <t>蜡笔大雪（雪批的奇妙冒险） VS 雲天河（YYPKW）</t>
  </si>
  <si>
    <t>E VS F</t>
  </si>
  <si>
    <r>
      <rPr>
        <sz val="10"/>
        <color rgb="FF000000"/>
        <rFont val="宋体"/>
        <charset val="134"/>
      </rPr>
      <t>🌧️</t>
    </r>
    <r>
      <rPr>
        <sz val="10"/>
        <color rgb="FF000000"/>
        <rFont val="宋体"/>
        <charset val="134"/>
      </rPr>
      <t xml:space="preserve"> 微雨杯</t>
    </r>
    <r>
      <rPr>
        <sz val="10"/>
        <color rgb="FF000000"/>
        <rFont val="宋体"/>
        <charset val="134"/>
      </rPr>
      <t xml:space="preserve"> S2「醉耀春锋」已开启报名</t>
    </r>
    <r>
      <rPr>
        <sz val="10"/>
        <color rgb="FF000000"/>
        <rFont val="宋体"/>
        <charset val="134"/>
      </rPr>
      <t xml:space="preserve">
衷心感谢尤总、leo、马来王子、廷总、晓锅匠（排名不分先后）慷慨相助，以热忱护热爱，以心意赴赛场，让每一份拼搏都有荣光可赴。</t>
    </r>
    <r>
      <rPr>
        <sz val="10"/>
        <color rgb="FF000000"/>
        <rFont val="宋体"/>
        <charset val="134"/>
      </rPr>
      <t xml:space="preserve">
微雨杯</t>
    </r>
    <r>
      <rPr>
        <sz val="10"/>
        <color rgb="FF000000"/>
        <rFont val="宋体"/>
        <charset val="134"/>
      </rPr>
      <t xml:space="preserve"> S2「醉耀春锋」赛制将在S1赛制基础上进行优化升级。确保每个参赛选手获得更公平、更均衡、更有趣的游戏体验。</t>
    </r>
    <r>
      <rPr>
        <sz val="10"/>
        <color rgb="FF000000"/>
        <rFont val="宋体"/>
        <charset val="134"/>
      </rPr>
      <t xml:space="preserve">
🏆</t>
    </r>
    <r>
      <rPr>
        <sz val="10"/>
        <color rgb="FF000000"/>
        <rFont val="宋体"/>
        <charset val="134"/>
      </rPr>
      <t xml:space="preserve"> 战队名次之赏</t>
    </r>
    <r>
      <rPr>
        <sz val="10"/>
        <color rgb="FF000000"/>
        <rFont val="宋体"/>
        <charset val="134"/>
      </rPr>
      <t xml:space="preserve">
🥇</t>
    </r>
    <r>
      <rPr>
        <sz val="10"/>
        <color rgb="FF000000"/>
        <rFont val="宋体"/>
        <charset val="134"/>
      </rPr>
      <t xml:space="preserve"> 冠军战队</t>
    </r>
    <r>
      <rPr>
        <sz val="10"/>
        <color rgb="FF000000"/>
        <rFont val="宋体"/>
        <charset val="134"/>
      </rPr>
      <t xml:space="preserve">
•葡萄白酒🍇🍶×1：以清冽琼浆，敬登顶之荣耀</t>
    </r>
    <r>
      <rPr>
        <sz val="10"/>
        <color rgb="FF000000"/>
        <rFont val="宋体"/>
        <charset val="134"/>
      </rPr>
      <t xml:space="preserve">
•智力斗篷挂饰🧙‍♂️×1：以魔法之纹，承运筹之智慧</t>
    </r>
    <r>
      <rPr>
        <sz val="10"/>
        <color rgb="FF000000"/>
        <rFont val="宋体"/>
        <charset val="134"/>
      </rPr>
      <t xml:space="preserve">
•自选</t>
    </r>
    <r>
      <rPr>
        <sz val="10"/>
        <color rgb="FF000000"/>
        <rFont val="宋体"/>
        <charset val="134"/>
      </rPr>
      <t xml:space="preserve"> DOTA2</t>
    </r>
    <r>
      <rPr>
        <sz val="10"/>
        <color rgb="FF000000"/>
        <rFont val="宋体"/>
        <charset val="134"/>
      </rPr>
      <t xml:space="preserve"> 冰箱贴🧊×1：以方寸印记，藏赛场之回忆</t>
    </r>
    <r>
      <rPr>
        <sz val="10"/>
        <color rgb="FF000000"/>
        <rFont val="宋体"/>
        <charset val="134"/>
      </rPr>
      <t xml:space="preserve">
•队长专属：敦煌福鹿呈祥杯🥂×1：以祥瑞之器，载战队之锋芒</t>
    </r>
    <r>
      <rPr>
        <sz val="10"/>
        <color rgb="FF000000"/>
        <rFont val="宋体"/>
        <charset val="134"/>
      </rPr>
      <t xml:space="preserve">
🥈</t>
    </r>
    <r>
      <rPr>
        <sz val="10"/>
        <color rgb="FF000000"/>
        <rFont val="宋体"/>
        <charset val="134"/>
      </rPr>
      <t xml:space="preserve"> 亚军战队</t>
    </r>
    <r>
      <rPr>
        <sz val="10"/>
        <color rgb="FF000000"/>
        <rFont val="宋体"/>
        <charset val="134"/>
      </rPr>
      <t xml:space="preserve">
•智力斗篷挂饰🧙‍♂️×1</t>
    </r>
    <r>
      <rPr>
        <sz val="10"/>
        <color rgb="FF000000"/>
        <rFont val="宋体"/>
        <charset val="134"/>
      </rPr>
      <t xml:space="preserve">
•自选</t>
    </r>
    <r>
      <rPr>
        <sz val="10"/>
        <color rgb="FF000000"/>
        <rFont val="宋体"/>
        <charset val="134"/>
      </rPr>
      <t xml:space="preserve"> DOTA2</t>
    </r>
    <r>
      <rPr>
        <sz val="10"/>
        <color rgb="FF000000"/>
        <rFont val="宋体"/>
        <charset val="134"/>
      </rPr>
      <t xml:space="preserve"> 冰箱贴🧊×1</t>
    </r>
    <r>
      <rPr>
        <sz val="10"/>
        <color rgb="FF000000"/>
        <rFont val="宋体"/>
        <charset val="134"/>
      </rPr>
      <t xml:space="preserve">
•队长专属：敦煌福鹿呈祥杯🥂×1</t>
    </r>
    <r>
      <rPr>
        <sz val="10"/>
        <color rgb="FF000000"/>
        <rFont val="宋体"/>
        <charset val="134"/>
      </rPr>
      <t xml:space="preserve">
🥉</t>
    </r>
    <r>
      <rPr>
        <sz val="10"/>
        <color rgb="FF000000"/>
        <rFont val="宋体"/>
        <charset val="134"/>
      </rPr>
      <t xml:space="preserve"> 季军战队</t>
    </r>
    <r>
      <rPr>
        <sz val="10"/>
        <color rgb="FF000000"/>
        <rFont val="宋体"/>
        <charset val="134"/>
      </rPr>
      <t xml:space="preserve">
•自选</t>
    </r>
    <r>
      <rPr>
        <sz val="10"/>
        <color rgb="FF000000"/>
        <rFont val="宋体"/>
        <charset val="134"/>
      </rPr>
      <t xml:space="preserve"> DOTA2</t>
    </r>
    <r>
      <rPr>
        <sz val="10"/>
        <color rgb="FF000000"/>
        <rFont val="宋体"/>
        <charset val="134"/>
      </rPr>
      <t xml:space="preserve"> 冰箱贴🧊×1</t>
    </r>
    <r>
      <rPr>
        <sz val="10"/>
        <color rgb="FF000000"/>
        <rFont val="宋体"/>
        <charset val="134"/>
      </rPr>
      <t xml:space="preserve">
•队长专属：敦煌福鹿呈祥杯🥂×1</t>
    </r>
    <r>
      <rPr>
        <sz val="10"/>
        <color rgb="FF000000"/>
        <rFont val="宋体"/>
        <charset val="134"/>
      </rPr>
      <t xml:space="preserve">
🎙️</t>
    </r>
    <r>
      <rPr>
        <sz val="10"/>
        <color rgb="FF000000"/>
        <rFont val="宋体"/>
        <charset val="134"/>
      </rPr>
      <t xml:space="preserve"> 解说专属馈赠</t>
    </r>
    <r>
      <rPr>
        <sz val="10"/>
        <color rgb="FF000000"/>
        <rFont val="宋体"/>
        <charset val="134"/>
      </rPr>
      <t xml:space="preserve">
所有解说均可获得解说积分，可兑换各类</t>
    </r>
    <r>
      <rPr>
        <sz val="10"/>
        <color rgb="FF000000"/>
        <rFont val="宋体"/>
        <charset val="134"/>
      </rPr>
      <t xml:space="preserve"> DOTA2</t>
    </r>
    <r>
      <rPr>
        <sz val="10"/>
        <color rgb="FF000000"/>
        <rFont val="宋体"/>
        <charset val="134"/>
      </rPr>
      <t xml:space="preserve"> 周边</t>
    </r>
    <r>
      <rPr>
        <sz val="10"/>
        <color rgb="FF000000"/>
        <rFont val="宋体"/>
        <charset val="134"/>
      </rPr>
      <t xml:space="preserve"> 🎁</t>
    </r>
    <r>
      <rPr>
        <sz val="10"/>
        <color rgb="FF000000"/>
        <rFont val="宋体"/>
        <charset val="134"/>
      </rPr>
      <t xml:space="preserve">
解说小肥羊、苹果君，另赠马来西亚特产巧克力</t>
    </r>
    <r>
      <rPr>
        <sz val="10"/>
        <color rgb="FF000000"/>
        <rFont val="宋体"/>
        <charset val="134"/>
      </rPr>
      <t xml:space="preserve"> 🍫，以一缕甜意，致谢声声相伴。</t>
    </r>
    <r>
      <rPr>
        <sz val="10"/>
        <color rgb="FF000000"/>
        <rFont val="宋体"/>
        <charset val="134"/>
      </rPr>
      <t xml:space="preserve">
🌟</t>
    </r>
    <r>
      <rPr>
        <sz val="10"/>
        <color rgb="FF000000"/>
        <rFont val="宋体"/>
        <charset val="134"/>
      </rPr>
      <t xml:space="preserve"> 个人数据殊荣</t>
    </r>
    <r>
      <rPr>
        <sz val="10"/>
        <color rgb="FF000000"/>
        <rFont val="宋体"/>
        <charset val="134"/>
      </rPr>
      <t xml:space="preserve">
以数据证锋芒，以坚守换嘉奖。</t>
    </r>
    <r>
      <rPr>
        <sz val="10"/>
        <color rgb="FF000000"/>
        <rFont val="宋体"/>
        <charset val="134"/>
      </rPr>
      <t xml:space="preserve">
本赛季各位置佼佼者，将获天府鱼子酱</t>
    </r>
    <r>
      <rPr>
        <sz val="10"/>
        <color rgb="FF000000"/>
        <rFont val="宋体"/>
        <charset val="134"/>
      </rPr>
      <t xml:space="preserve"> 🥢：</t>
    </r>
    <r>
      <rPr>
        <sz val="10"/>
        <color rgb="FF000000"/>
        <rFont val="宋体"/>
        <charset val="134"/>
      </rPr>
      <t xml:space="preserve">
•分均经济最高・一号位</t>
    </r>
    <r>
      <rPr>
        <sz val="10"/>
        <color rgb="FF000000"/>
        <rFont val="宋体"/>
        <charset val="134"/>
      </rPr>
      <t xml:space="preserve">  
•分均经验最高・二号位</t>
    </r>
    <r>
      <rPr>
        <sz val="10"/>
        <color rgb="FF000000"/>
        <rFont val="宋体"/>
        <charset val="134"/>
      </rPr>
      <t xml:space="preserve">   
•承伤/经济最高・三号位</t>
    </r>
    <r>
      <rPr>
        <sz val="10"/>
        <color rgb="FF000000"/>
        <rFont val="宋体"/>
        <charset val="134"/>
      </rPr>
      <t xml:space="preserve">   
•参战最高・四号位</t>
    </r>
    <r>
      <rPr>
        <sz val="10"/>
        <color rgb="FF000000"/>
        <rFont val="宋体"/>
        <charset val="134"/>
      </rPr>
      <t xml:space="preserve">    
•助攻最多・五号位</t>
    </r>
    <r>
      <rPr>
        <sz val="10"/>
        <color rgb="FF000000"/>
        <rFont val="宋体"/>
        <charset val="134"/>
      </rPr>
      <t xml:space="preserve">
⚔️</t>
    </r>
    <r>
      <rPr>
        <sz val="10"/>
        <color rgb="FF000000"/>
        <rFont val="宋体"/>
        <charset val="134"/>
      </rPr>
      <t xml:space="preserve"> 趣味</t>
    </r>
    <r>
      <rPr>
        <sz val="10"/>
        <color rgb="FF000000"/>
        <rFont val="宋体"/>
        <charset val="134"/>
      </rPr>
      <t xml:space="preserve"> SOLO</t>
    </r>
    <r>
      <rPr>
        <sz val="10"/>
        <color rgb="FF000000"/>
        <rFont val="宋体"/>
        <charset val="134"/>
      </rPr>
      <t xml:space="preserve"> 赛</t>
    </r>
    <r>
      <rPr>
        <sz val="10"/>
        <color rgb="FF000000"/>
        <rFont val="宋体"/>
        <charset val="134"/>
      </rPr>
      <t xml:space="preserve">
赛季同期开放SOLO</t>
    </r>
    <r>
      <rPr>
        <sz val="10"/>
        <color rgb="FF000000"/>
        <rFont val="宋体"/>
        <charset val="134"/>
      </rPr>
      <t xml:space="preserve"> 挑战赛，各路英雄可孤身赴战</t>
    </r>
    <r>
      <rPr>
        <sz val="10"/>
        <color rgb="FF000000"/>
        <rFont val="宋体"/>
        <charset val="134"/>
      </rPr>
      <t xml:space="preserve">
胜者将获神秘惊喜奖品，悬念静待揭晓</t>
    </r>
    <r>
      <rPr>
        <sz val="10"/>
        <color rgb="FF000000"/>
        <rFont val="宋体"/>
        <charset val="134"/>
      </rPr>
      <t xml:space="preserve"> ✨</t>
    </r>
    <r>
      <rPr>
        <sz val="10"/>
        <color rgb="FF000000"/>
        <rFont val="宋体"/>
        <charset val="134"/>
      </rPr>
      <t xml:space="preserve">
愿微雨为伴，举杯共竞；</t>
    </r>
    <r>
      <rPr>
        <sz val="10"/>
        <color rgb="FF000000"/>
        <rFont val="宋体"/>
        <charset val="134"/>
      </rPr>
      <t xml:space="preserve">
以热爱为刃，以兄弟为盾，不负每一场奔赴。</t>
    </r>
    <r>
      <rPr>
        <sz val="10"/>
        <color rgb="FF000000"/>
        <rFont val="宋体"/>
        <charset val="134"/>
      </rPr>
      <t xml:space="preserve">
***特别注意：**</t>
    </r>
    <r>
      <rPr>
        <sz val="10"/>
        <color rgb="FF000000"/>
        <rFont val="宋体"/>
        <charset val="134"/>
      </rPr>
      <t xml:space="preserve">
1.比赛中禁止嘲讽、压力、辱骂队友与对手，文明竞技，尊重每一位选手。</t>
    </r>
    <r>
      <rPr>
        <sz val="10"/>
        <color rgb="FF000000"/>
        <rFont val="宋体"/>
        <charset val="134"/>
      </rPr>
      <t xml:space="preserve">
2.请确认自身时间可正常参赛，尽量避免多次迟到、无故弃赛。</t>
    </r>
    <r>
      <rPr>
        <sz val="10"/>
        <color rgb="FF000000"/>
        <rFont val="宋体"/>
        <charset val="134"/>
      </rPr>
      <t xml:space="preserve">
若违反以上规定，上帝有权直接斩杀。</t>
    </r>
    <r>
      <rPr>
        <sz val="10"/>
        <color rgb="FF000000"/>
        <rFont val="宋体"/>
        <charset val="134"/>
      </rPr>
      <t xml:space="preserve">
报名链接：</t>
    </r>
    <r>
      <rPr>
        <u/>
        <sz val="10"/>
        <color rgb="FF175CEB"/>
        <rFont val="宋体"/>
        <charset val="134"/>
      </rPr>
      <t>https://wj.qq.com/s2/25994373/df52/</t>
    </r>
    <r>
      <rPr>
        <sz val="10"/>
        <color rgb="FF000000"/>
        <rFont val="宋体"/>
        <charset val="134"/>
      </rPr>
      <t xml:space="preserve">
报名前请确保已填写群表格并参与过内战（见群公告）</t>
    </r>
    <r>
      <rPr>
        <sz val="10"/>
        <color rgb="FF000000"/>
        <rFont val="宋体"/>
        <charset val="134"/>
      </rPr>
      <t xml:space="preserve">
</t>
    </r>
    <r>
      <rPr>
        <sz val="10"/>
        <color rgb="FF000000"/>
        <rFont val="宋体"/>
        <charset val="134"/>
      </rPr>
      <t>更多dota2周边👇</t>
    </r>
    <r>
      <rPr>
        <sz val="10"/>
        <color rgb="FF000000"/>
        <rFont val="宋体"/>
        <charset val="134"/>
      </rPr>
      <t xml:space="preserve">
淘宝：微雨dota2</t>
    </r>
  </si>
  <si>
    <t>🏆S1冠军🏆为：21、洋芋、黑色柳丁、柬埔寨智慧笼、coconut</t>
  </si>
  <si>
    <t>序号</t>
  </si>
  <si>
    <t>微信昵称</t>
  </si>
  <si>
    <t>战力</t>
  </si>
  <si>
    <t>分数</t>
  </si>
  <si>
    <t>主选定位</t>
  </si>
  <si>
    <t>次选定位</t>
  </si>
  <si>
    <t>内冠次数</t>
  </si>
  <si>
    <t>自我介绍</t>
  </si>
  <si>
    <t>风Ain-t</t>
  </si>
  <si>
    <t>一</t>
  </si>
  <si>
    <t>二、三</t>
  </si>
  <si>
    <t>cc是我师傅（热辣舞男）</t>
  </si>
  <si>
    <t>剩余金额</t>
  </si>
  <si>
    <t>笑败</t>
  </si>
  <si>
    <t>三</t>
  </si>
  <si>
    <t>一三摇摆，二也能摇</t>
  </si>
  <si>
    <t>兆焱</t>
  </si>
  <si>
    <t>秋</t>
  </si>
  <si>
    <t>蒙面加菲猫</t>
  </si>
  <si>
    <t>Drugz</t>
  </si>
  <si>
    <t>小牛</t>
  </si>
  <si>
    <t>猪</t>
  </si>
  <si>
    <t>四</t>
  </si>
  <si>
    <t>长的算了也就算了，打的也这么算了。</t>
  </si>
  <si>
    <t>Ninelie</t>
  </si>
  <si>
    <t>END</t>
  </si>
  <si>
    <t>哭胜（男同）</t>
  </si>
  <si>
    <t>招财喵</t>
  </si>
  <si>
    <t>dalinya.</t>
  </si>
  <si>
    <t>阿魂呐</t>
  </si>
  <si>
    <t>二</t>
  </si>
  <si>
    <t>只想干笑败</t>
  </si>
  <si>
    <t>幺鸡</t>
  </si>
  <si>
    <t>你也喜欢河马嘛</t>
  </si>
  <si>
    <t>踏雾</t>
  </si>
  <si>
    <t>Sdy</t>
  </si>
  <si>
    <t>一年半以前8100，后面没打过大号天梯了</t>
  </si>
  <si>
    <t>iqbs</t>
  </si>
  <si>
    <t>三、五</t>
  </si>
  <si>
    <t>笑败粉丝</t>
  </si>
  <si>
    <t>赤夜紫雨</t>
  </si>
  <si>
    <t>蜡笔大雪</t>
  </si>
  <si>
    <t>黑色柳丁🏆</t>
  </si>
  <si>
    <t>一、二、三</t>
  </si>
  <si>
    <t>四、五</t>
  </si>
  <si>
    <t>笑败大神铁粉丝（忧郁王子）</t>
  </si>
  <si>
    <t>荼霏</t>
  </si>
  <si>
    <t>哞哞</t>
  </si>
  <si>
    <t>21🏆</t>
  </si>
  <si>
    <t>脚踢风仔的一（可爱水豚）</t>
  </si>
  <si>
    <t>黑山羊</t>
  </si>
  <si>
    <t>蜡笔小雪</t>
  </si>
  <si>
    <t>Dota思想家</t>
  </si>
  <si>
    <t>熊</t>
  </si>
  <si>
    <t>）</t>
  </si>
  <si>
    <t>一、三、五</t>
  </si>
  <si>
    <t>授法</t>
  </si>
  <si>
    <t>PP</t>
  </si>
  <si>
    <t>儒雅随和</t>
  </si>
  <si>
    <t>柬埔寨智慧笼🏆</t>
  </si>
  <si>
    <t>一、二</t>
  </si>
  <si>
    <t>超级大稿子</t>
  </si>
  <si>
    <t>混子中</t>
  </si>
  <si>
    <t>大蟑螂</t>
  </si>
  <si>
    <t>所念皆星河</t>
  </si>
  <si>
    <t>睡衣大大</t>
  </si>
  <si>
    <t>老毕登</t>
  </si>
  <si>
    <t>洋芋🏆</t>
  </si>
  <si>
    <t>五</t>
  </si>
  <si>
    <t>三、四</t>
  </si>
  <si>
    <t>听话</t>
  </si>
  <si>
    <t>风</t>
  </si>
  <si>
    <t>vamoose</t>
  </si>
  <si>
    <t>三是扛起进攻大旗的猛男，不是你们口中的贱狗（帅哥）（雨一三）</t>
  </si>
  <si>
    <t>清欢不渡</t>
  </si>
  <si>
    <t>ZMJ 玖黎</t>
  </si>
  <si>
    <t>绮怀.</t>
  </si>
  <si>
    <t>No</t>
  </si>
  <si>
    <t>温酒</t>
  </si>
  <si>
    <t>太久没玩，需要复建，现在有点菜</t>
  </si>
  <si>
    <t>Jose</t>
  </si>
  <si>
    <t>没办法兄弟，我穷点没事，三是这样的，尽力了我的吧</t>
  </si>
  <si>
    <t>我是笑败的忠臣</t>
  </si>
  <si>
    <t>YuuU</t>
  </si>
  <si>
    <t>云天河</t>
  </si>
  <si>
    <t>yu</t>
  </si>
  <si>
    <t>保抢我无敌</t>
  </si>
  <si>
    <t>龙城林子</t>
  </si>
  <si>
    <t>王亚祈</t>
  </si>
  <si>
    <t>一、四、五</t>
  </si>
  <si>
    <t>芋头芭乐脑袋</t>
  </si>
  <si>
    <t>一、三</t>
  </si>
  <si>
    <t>爱喝可乐的帅哥</t>
  </si>
  <si>
    <t>老K</t>
  </si>
  <si>
    <t>臭酱油一枚</t>
  </si>
  <si>
    <t>临江仙</t>
  </si>
  <si>
    <t>三、四、五</t>
  </si>
  <si>
    <t>新人求不虐</t>
  </si>
  <si>
    <t>summer丶夏</t>
  </si>
  <si>
    <t>coconut🏆</t>
  </si>
  <si>
    <t>佛系青年</t>
  </si>
  <si>
    <t>二、五</t>
  </si>
  <si>
    <t>✌️😛✌️</t>
  </si>
  <si>
    <t>。。~</t>
  </si>
  <si>
    <t>一、二、三、四、五</t>
  </si>
  <si>
    <t>pp</t>
  </si>
  <si>
    <t>复建选手</t>
  </si>
  <si>
    <t>忧郁的苹果君</t>
  </si>
  <si>
    <t>ppp</t>
  </si>
  <si>
    <t>对你的爱就像屎拉裤兜里 沉甸甸的 只有我自己知道</t>
  </si>
  <si>
    <t>QWQ</t>
  </si>
  <si>
    <t>很会抗压，不只玩憋壳形3。</t>
  </si>
  <si>
    <t>starling</t>
  </si>
  <si>
    <t>尤也</t>
  </si>
  <si>
    <t>不准欺负狗屎心念！换我来！</t>
  </si>
  <si>
    <t>一、四</t>
  </si>
  <si>
    <t>绝活海</t>
  </si>
  <si>
    <t>游牧骑兵</t>
  </si>
  <si>
    <t>捞陈、酒仙、小娜迦、维萨吉。</t>
  </si>
  <si>
    <t>叫我哥哥或者叔叔</t>
  </si>
  <si>
    <t>小胖</t>
  </si>
  <si>
    <t>芳心纵火犯</t>
  </si>
  <si>
    <t>叫我姐姐或者阿姨</t>
  </si>
  <si>
    <t>二、四</t>
  </si>
  <si>
    <t>暖男</t>
  </si>
  <si>
    <t>什么花里胡哨的</t>
  </si>
  <si>
    <t>四五号，学学4号，但半途而废了（我也不想呀），现在只想继续学学学，跟大家一起进步进步进步</t>
  </si>
  <si>
    <t>英雄勺哟！！！！！</t>
  </si>
  <si>
    <t>一、三、四、五</t>
  </si>
  <si>
    <t>心态好</t>
  </si>
  <si>
    <t>一、二、三、四</t>
  </si>
  <si>
    <t>躺狗（精品躺）</t>
  </si>
  <si>
    <t>🏆 微雨杯·规则</t>
  </si>
  <si>
    <r>
      <rPr>
        <sz val="11"/>
        <color rgb="FF000000"/>
        <rFont val="Microsoft YaHei"/>
        <charset val="134"/>
      </rPr>
      <t>🚨</t>
    </r>
    <r>
      <rPr>
        <sz val="11"/>
        <color rgb="FF000000"/>
        <rFont val="Microsoft YaHei"/>
        <charset val="134"/>
      </rPr>
      <t>️勿踩红线</t>
    </r>
    <r>
      <rPr>
        <sz val="11"/>
        <color rgb="FF000000"/>
        <rFont val="Microsoft YaHei"/>
        <charset val="134"/>
      </rPr>
      <t xml:space="preserve">
   ▸ 小号、谎报分数是红线，第一要义打造无小号比赛
   ▸ 一旦抓住</t>
    </r>
    <r>
      <rPr>
        <b/>
        <sz val="11"/>
        <color rgb="FFFF0000"/>
        <rFont val="Microsoft YaHei"/>
        <charset val="134"/>
      </rPr>
      <t>装猪装龙</t>
    </r>
    <r>
      <rPr>
        <sz val="11"/>
        <color rgb="FF000000"/>
        <rFont val="Microsoft YaHei"/>
        <charset val="134"/>
      </rPr>
      <t xml:space="preserve">行为，被骂是小事，各社区互通是大事
</t>
    </r>
    <r>
      <rPr>
        <sz val="11"/>
        <color rgb="FF000000"/>
        <rFont val="Microsoft YaHei"/>
        <charset val="134"/>
      </rPr>
      <t>💬 参赛须知</t>
    </r>
    <r>
      <rPr>
        <sz val="11"/>
        <color rgb="FF000000"/>
        <rFont val="Microsoft YaHei"/>
        <charset val="134"/>
      </rPr>
      <t xml:space="preserve">
   ▸</t>
    </r>
    <r>
      <rPr>
        <sz val="11"/>
        <color rgb="FF000000"/>
        <rFont val="Microsoft YaHei"/>
        <charset val="134"/>
      </rPr>
      <t> </t>
    </r>
    <r>
      <rPr>
        <b/>
        <sz val="11"/>
        <color rgb="FFFF0000"/>
        <rFont val="Microsoft YaHei"/>
        <charset val="134"/>
      </rPr>
      <t>参加过内战方可报名比赛</t>
    </r>
    <r>
      <rPr>
        <sz val="11"/>
        <color rgb="FF000000"/>
        <rFont val="Microsoft YaHei"/>
        <charset val="134"/>
      </rPr>
      <t xml:space="preserve">
   ▸ 别怕自己分低不敢打，你分越低，你的队友越强
   ▸ 严禁攻击/辱骂选手，违者严肃处理</t>
    </r>
  </si>
  <si>
    <t>🔄 替补规则</t>
  </si>
  <si>
    <r>
      <rPr>
        <sz val="10"/>
        <color rgb="FF000000"/>
        <rFont val="Microsoft YaHei"/>
        <charset val="134"/>
      </rPr>
      <t>⚠️</t>
    </r>
    <r>
      <rPr>
        <sz val="10"/>
        <color rgb="FF000000"/>
        <rFont val="Microsoft YaHei"/>
        <charset val="134"/>
      </rPr>
      <t> 迟到判罚</t>
    </r>
  </si>
  <si>
    <r>
      <rPr>
        <sz val="10"/>
        <color rgb="FF000000"/>
        <rFont val="Microsoft YaHei"/>
        <charset val="134"/>
      </rPr>
      <t>⏸️</t>
    </r>
    <r>
      <rPr>
        <sz val="10"/>
        <color rgb="FF000000"/>
        <rFont val="Microsoft YaHei"/>
        <charset val="134"/>
      </rPr>
      <t> 暂停规则</t>
    </r>
  </si>
  <si>
    <t>👥 替补资格：</t>
  </si>
  <si>
    <r>
      <rPr>
        <sz val="10"/>
        <color rgb="FF000000"/>
        <rFont val="Microsoft YaHei"/>
        <charset val="134"/>
      </rPr>
      <t>可从未报名但</t>
    </r>
    <r>
      <rPr>
        <b/>
        <sz val="10"/>
        <color rgb="FFFF0000"/>
        <rFont val="Microsoft YaHei"/>
        <charset val="134"/>
      </rPr>
      <t>参加过内战</t>
    </r>
    <r>
      <rPr>
        <sz val="10"/>
        <color rgb="FF000000"/>
        <rFont val="Microsoft YaHei"/>
        <charset val="134"/>
      </rPr>
      <t>的群友中选取</t>
    </r>
  </si>
  <si>
    <t>🕒 10分钟 ~ 15分钟
罚没BP时间 30秒</t>
  </si>
  <si>
    <t>每局、每队累计最多10分钟</t>
  </si>
  <si>
    <t>🔢 数量限制：</t>
  </si>
  <si>
    <r>
      <rPr>
        <sz val="10"/>
        <color rgb="FF000000"/>
        <rFont val="Microsoft YaHei"/>
        <charset val="134"/>
      </rPr>
      <t>每队最多允许</t>
    </r>
    <r>
      <rPr>
        <b/>
        <sz val="10"/>
        <color rgb="FFFF0000"/>
        <rFont val="Microsoft YaHei"/>
        <charset val="134"/>
      </rPr>
      <t>1名</t>
    </r>
    <r>
      <rPr>
        <sz val="10"/>
        <color rgb="FF000000"/>
        <rFont val="Microsoft YaHei"/>
        <charset val="134"/>
      </rPr>
      <t>替补</t>
    </r>
  </si>
  <si>
    <t>🕓 15分钟 ~ 30分钟
罚没BP时间 90秒</t>
  </si>
  <si>
    <r>
      <rPr>
        <sz val="10"/>
        <color rgb="FF000000"/>
        <rFont val="Microsoft YaHei"/>
        <charset val="134"/>
      </rPr>
      <t>⚔</t>
    </r>
    <r>
      <rPr>
        <sz val="10"/>
        <color rgb="FF000000"/>
        <rFont val="Microsoft YaHei"/>
        <charset val="134"/>
      </rPr>
      <t>  战力要求：</t>
    </r>
  </si>
  <si>
    <r>
      <rPr>
        <sz val="10"/>
        <color rgb="FF000000"/>
        <rFont val="Microsoft YaHei"/>
        <charset val="134"/>
      </rPr>
      <t>•</t>
    </r>
    <r>
      <rPr>
        <sz val="10"/>
        <color rgb="FF000000"/>
        <rFont val="Microsoft YaHei"/>
        <charset val="134"/>
      </rPr>
      <t>替补战力需比原选手低</t>
    </r>
    <r>
      <rPr>
        <b/>
        <sz val="10"/>
        <color rgb="FFFF0000"/>
        <rFont val="Microsoft YaHei"/>
        <charset val="134"/>
      </rPr>
      <t>至少-5战力</t>
    </r>
  </si>
  <si>
    <t>🛑 超过30分钟
直接判负</t>
  </si>
  <si>
    <r>
      <rPr>
        <sz val="10"/>
        <color rgb="FF000000"/>
        <rFont val="Microsoft YaHei"/>
        <charset val="134"/>
      </rPr>
      <t>•</t>
    </r>
    <r>
      <rPr>
        <sz val="10"/>
        <color rgb="FF000000"/>
        <rFont val="Microsoft YaHei"/>
        <charset val="134"/>
      </rPr>
      <t>若原选手战力低于30，则替补不受此限</t>
    </r>
  </si>
  <si>
    <t>📝 报备流程：</t>
  </si>
  <si>
    <r>
      <rPr>
        <sz val="10"/>
        <color rgb="FF000000"/>
        <rFont val="Microsoft YaHei"/>
        <charset val="134"/>
      </rPr>
      <t>•</t>
    </r>
    <r>
      <rPr>
        <sz val="10"/>
        <color rgb="FF000000"/>
        <rFont val="Microsoft YaHei"/>
        <charset val="134"/>
      </rPr>
      <t>必须</t>
    </r>
    <r>
      <rPr>
        <b/>
        <sz val="10"/>
        <color rgb="FFFF0000"/>
        <rFont val="Microsoft YaHei"/>
        <charset val="134"/>
      </rPr>
      <t>提前</t>
    </r>
    <r>
      <rPr>
        <sz val="10"/>
        <color rgb="FF000000"/>
        <rFont val="Microsoft YaHei"/>
        <charset val="134"/>
      </rPr>
      <t>向主办方报备，严禁临时替补</t>
    </r>
  </si>
  <si>
    <r>
      <rPr>
        <sz val="10"/>
        <color rgb="FF000000"/>
        <rFont val="Microsoft YaHei"/>
        <charset val="134"/>
      </rPr>
      <t>•</t>
    </r>
    <r>
      <rPr>
        <sz val="10"/>
        <color rgb="FF000000"/>
        <rFont val="Microsoft YaHei"/>
        <charset val="134"/>
      </rPr>
      <t>如遇突发情况，需及时与主办方沟通说明</t>
    </r>
  </si>
  <si>
    <t>🔄 出场次数：</t>
  </si>
  <si>
    <r>
      <rPr>
        <sz val="10"/>
        <color rgb="FF000000"/>
        <rFont val="Microsoft YaHei"/>
        <charset val="134"/>
      </rPr>
      <t>替补选手出场次数</t>
    </r>
    <r>
      <rPr>
        <b/>
        <sz val="10"/>
        <color rgb="FFFF0000"/>
        <rFont val="Microsoft YaHei"/>
        <charset val="134"/>
      </rPr>
      <t>不得超整个赛事半数</t>
    </r>
  </si>
  <si>
    <t>🚫 退赛处理细则</t>
  </si>
  <si>
    <r>
      <rPr>
        <sz val="10"/>
        <color rgb="FF000000"/>
        <rFont val="宋体"/>
        <charset val="134"/>
      </rPr>
      <t>⛔</t>
    </r>
    <r>
      <rPr>
        <sz val="10"/>
        <color rgb="FF000000"/>
        <rFont val="黑体"/>
        <charset val="134"/>
      </rPr>
      <t> 选手处罚：无故退赛者，直接禁赛处理</t>
    </r>
  </si>
  <si>
    <t>👥 邀请人连带责任：该选手的邀请人三个月内禁止邀请新人参赛或入群</t>
  </si>
  <si>
    <r>
      <rPr>
        <sz val="10"/>
        <color rgb="FF000000"/>
        <rFont val="黑体"/>
        <charset val="134"/>
      </rPr>
      <t>🔄 组委会补位机制：队员退赛后，由组委会负责安排原选手</t>
    </r>
    <r>
      <rPr>
        <b/>
        <sz val="10"/>
        <color rgb="FFFF0000"/>
        <rFont val="黑体"/>
        <charset val="134"/>
      </rPr>
      <t>战力-3</t>
    </r>
    <r>
      <rPr>
        <sz val="10"/>
        <color rgb="FF000000"/>
        <rFont val="黑体"/>
        <charset val="134"/>
      </rPr>
      <t>并参与过内战的一位</t>
    </r>
    <r>
      <rPr>
        <b/>
        <sz val="10"/>
        <color rgb="FFFF0000"/>
        <rFont val="黑体"/>
        <charset val="134"/>
      </rPr>
      <t>相同位置、稳定</t>
    </r>
    <r>
      <rPr>
        <sz val="10"/>
        <color rgb="FF000000"/>
        <rFont val="黑体"/>
        <charset val="134"/>
      </rPr>
      <t>替补补位</t>
    </r>
  </si>
  <si>
    <t xml:space="preserve">序号                                            </t>
  </si>
  <si>
    <t>steamid</t>
  </si>
  <si>
    <t>擅长位置</t>
  </si>
  <si>
    <t>内战冠军次数</t>
  </si>
  <si>
    <t>上帝</t>
  </si>
  <si>
    <t>一,二,三,四</t>
  </si>
  <si>
    <t>脚踢小雪，拳打鱼畜</t>
  </si>
  <si>
    <t>一,三</t>
  </si>
  <si>
    <t>武痴</t>
  </si>
  <si>
    <t>三,四,五,一</t>
  </si>
  <si>
    <t>精品洋葱头（专治扛起进攻大旗的三号位，超级贱狗）</t>
  </si>
  <si>
    <t>保雨派</t>
  </si>
  <si>
    <t>一,二</t>
  </si>
  <si>
    <t>温文尔雅</t>
  </si>
  <si>
    <t>三,四,五</t>
  </si>
  <si>
    <t>二,三</t>
  </si>
  <si>
    <t>四,五,三</t>
  </si>
  <si>
    <t>一,二,三,四,五</t>
  </si>
  <si>
    <t>？</t>
  </si>
  <si>
    <t>二,四,五</t>
  </si>
  <si>
    <t>三猫一滚puck 拉席克女王小小，ling神毒唯</t>
  </si>
  <si>
    <t>黑色柳丁</t>
  </si>
  <si>
    <t>脚踢风仔的一号位（可爱水豚）</t>
  </si>
  <si>
    <t>一颗大白菜</t>
  </si>
  <si>
    <t>一,二,三</t>
  </si>
  <si>
    <t>啥都会一点</t>
  </si>
  <si>
    <t>Summer丶夏</t>
  </si>
  <si>
    <t>每个位置都可以打，眼位研究不多，需要练英雄扩池子</t>
  </si>
  <si>
    <t>柬埔寨智慧笼</t>
  </si>
  <si>
    <t>coconut</t>
  </si>
  <si>
    <t>性价比中单。打谁都不怂 还什么都会</t>
  </si>
  <si>
    <t>洋芋</t>
  </si>
  <si>
    <t>五,三,四</t>
  </si>
  <si>
    <t>三号位是扛起进攻大旗的猛男，不是你们口中的贱狗（帅哥）（雨一三）</t>
  </si>
  <si>
    <t>没办法兄弟，我穷点没事，三号位是这样的，尽力了我的吧</t>
  </si>
  <si>
    <t>一,五</t>
  </si>
  <si>
    <t>三,四</t>
  </si>
  <si>
    <t>四,五</t>
  </si>
  <si>
    <t>一,四,五</t>
  </si>
  <si>
    <t>一,三,四,五</t>
  </si>
  <si>
    <t>一,二,四</t>
  </si>
  <si>
    <t>二,三,五</t>
  </si>
  <si>
    <t>赌</t>
  </si>
  <si>
    <t>二,四</t>
  </si>
  <si>
    <t>一,四</t>
  </si>
  <si>
    <t>四,五,三,二,一</t>
  </si>
  <si>
    <t>微信昵称（群）</t>
  </si>
  <si>
    <t>数字id</t>
  </si>
  <si>
    <t>游戏昵称</t>
  </si>
  <si>
    <t>战力值（别填）</t>
  </si>
  <si>
    <t>Mu</t>
  </si>
  <si>
    <t>★★☆☆☆</t>
  </si>
  <si>
    <t>zealot4u</t>
  </si>
  <si>
    <t>★☆☆☆☆</t>
  </si>
  <si>
    <t>新手三号位害怕对线</t>
  </si>
  <si>
    <t>-</t>
  </si>
  <si>
    <t>畜高八斗</t>
  </si>
  <si>
    <t>辞</t>
  </si>
  <si>
    <t>bon vayege</t>
  </si>
  <si>
    <t>☆☆☆☆☆</t>
  </si>
  <si>
    <t>火辣大蟑螂</t>
  </si>
  <si>
    <t>AA酒水范子</t>
  </si>
  <si>
    <t>冒险的寂灭</t>
  </si>
  <si>
    <t>iCccy</t>
  </si>
  <si>
    <t>defencex</t>
  </si>
  <si>
    <t>D</t>
  </si>
  <si>
    <t>★★★★☆</t>
  </si>
  <si>
    <t>上帝小弟</t>
  </si>
  <si>
    <t>精品贵公子</t>
  </si>
  <si>
    <t>oiii</t>
  </si>
  <si>
    <t>狮子麒麟凤</t>
  </si>
  <si>
    <t>矮猪</t>
  </si>
  <si>
    <t>晗</t>
  </si>
  <si>
    <t>小晗</t>
  </si>
  <si>
    <t>drugz</t>
  </si>
  <si>
    <t>Tourbillion</t>
  </si>
  <si>
    <t>阿魂</t>
  </si>
  <si>
    <t>MBP</t>
  </si>
  <si>
    <t>Mbppe</t>
  </si>
  <si>
    <t>y</t>
  </si>
  <si>
    <t>做个好梦吧</t>
  </si>
  <si>
    <t>一,二,四,五</t>
  </si>
  <si>
    <t>A</t>
  </si>
  <si>
    <t>ditto</t>
  </si>
  <si>
    <t>空识茄蓝</t>
  </si>
  <si>
    <t>大熊小清新</t>
  </si>
  <si>
    <t>Ursamajor</t>
  </si>
  <si>
    <t>英雄针</t>
  </si>
  <si>
    <t>sdy</t>
  </si>
  <si>
    <t>SomeD1eYoung</t>
  </si>
  <si>
    <t>琴葉葵</t>
  </si>
  <si>
    <t>Mago</t>
  </si>
  <si>
    <t>ll mago</t>
  </si>
  <si>
    <t>赫尔</t>
  </si>
  <si>
    <t>雲天河</t>
  </si>
  <si>
    <t>Wjr.</t>
  </si>
  <si>
    <t>★★★☆☆</t>
  </si>
  <si>
    <t>Mortis</t>
  </si>
  <si>
    <t>日月同错</t>
  </si>
  <si>
    <t>颾浪剑客</t>
  </si>
  <si>
    <t>颾浪剑客（笑败的刺客）</t>
  </si>
  <si>
    <t>shrike</t>
  </si>
  <si>
    <t>何春秋</t>
  </si>
  <si>
    <t>饶命</t>
  </si>
  <si>
    <t>tiNy</t>
  </si>
  <si>
    <t>芬里厄</t>
  </si>
  <si>
    <t>BLY</t>
  </si>
  <si>
    <t>天命</t>
  </si>
  <si>
    <t>j'h'h'j'h'j</t>
  </si>
  <si>
    <t>车长老</t>
  </si>
  <si>
    <t>酸酸奶盐</t>
  </si>
  <si>
    <t>不爱说话，单线程，听指挥</t>
  </si>
  <si>
    <t>Desperado</t>
  </si>
  <si>
    <t>珂教兴国</t>
  </si>
  <si>
    <t>我永远喜欢雪之下雪乃</t>
  </si>
  <si>
    <t>新宇宙</t>
  </si>
  <si>
    <t>普通朋友</t>
  </si>
  <si>
    <t>Lesson 5</t>
  </si>
  <si>
    <t>主2副1</t>
  </si>
  <si>
    <t xml:space="preserve">Thomas </t>
  </si>
  <si>
    <t>冷冻鸡肉</t>
  </si>
  <si>
    <t>nya!吕布匹夫竟敢偷袭我的兖州</t>
  </si>
  <si>
    <t>i.ez</t>
  </si>
  <si>
    <t>社会我龙叔</t>
  </si>
  <si>
    <t>Ember</t>
  </si>
  <si>
    <t>井芹仁菜</t>
  </si>
  <si>
    <t>只玩三的都是圣人；指望4号位保你是临死前的幻想罢了；为什么要演奏《像我这样的人》；为什么dota内战只比dota，我提议比游戏王/影之诗/大巴扎</t>
  </si>
  <si>
    <t>W</t>
  </si>
  <si>
    <t>无敌破坏Z</t>
  </si>
  <si>
    <t>没有自我介绍</t>
  </si>
  <si>
    <t>Drunk</t>
  </si>
  <si>
    <t>环状星云</t>
  </si>
  <si>
    <t>粉色猛男</t>
  </si>
  <si>
    <t>虎</t>
  </si>
  <si>
    <t>很优雅的中单</t>
  </si>
  <si>
    <t>你的虎皇 无限猖狂</t>
  </si>
  <si>
    <t>柬埔寨fy</t>
  </si>
  <si>
    <t>m1dong</t>
  </si>
  <si>
    <t>懂王</t>
  </si>
  <si>
    <t>绝活猛犸王</t>
  </si>
  <si>
    <t>1Tap</t>
  </si>
  <si>
    <t>Songz-z</t>
  </si>
  <si>
    <t>godf</t>
  </si>
  <si>
    <t>中专肄业</t>
  </si>
  <si>
    <t>余生只有</t>
  </si>
  <si>
    <t>sigmmid</t>
  </si>
  <si>
    <t>西红柿不炒蛋</t>
  </si>
  <si>
    <t>daimon、X</t>
  </si>
  <si>
    <t>颾浪剑客好友，一般只打到晚上十点</t>
  </si>
  <si>
    <t>coconut椰子</t>
  </si>
  <si>
    <t>Gyro</t>
  </si>
  <si>
    <t>别再五个力量英雄了</t>
  </si>
  <si>
    <t>生在红旗下</t>
  </si>
  <si>
    <t>俞慕周</t>
  </si>
  <si>
    <t>MY all</t>
  </si>
  <si>
    <t>孟川</t>
  </si>
  <si>
    <t>重回玩家</t>
  </si>
  <si>
    <t>山水有相逢</t>
  </si>
  <si>
    <t>二,三,四</t>
  </si>
  <si>
    <t>刷送躺</t>
  </si>
  <si>
    <t>红猪</t>
  </si>
  <si>
    <t>你是什么东西</t>
  </si>
  <si>
    <t>三,五</t>
  </si>
  <si>
    <t>莽夫</t>
  </si>
  <si>
    <t>Funf</t>
  </si>
  <si>
    <t>味精一撮盐半勺</t>
  </si>
  <si>
    <t>懒狗</t>
  </si>
  <si>
    <t>MistyR</t>
  </si>
  <si>
    <t>股王冲</t>
  </si>
  <si>
    <t>Mokaaaa.</t>
  </si>
  <si>
    <t>jose</t>
  </si>
  <si>
    <t>修复了猛犸偶尔会空大</t>
  </si>
  <si>
    <t>End</t>
  </si>
  <si>
    <t>TraxZ</t>
  </si>
  <si>
    <t>箭似光阴</t>
  </si>
  <si>
    <t>烈士路，辅助也能混</t>
  </si>
  <si>
    <t>DouYin38036......</t>
  </si>
  <si>
    <t>云玩家纯bot</t>
  </si>
  <si>
    <t>小李sk</t>
  </si>
  <si>
    <t>香梨杯最低分中单，陀螺本螺</t>
  </si>
  <si>
    <t>Devil__Love</t>
  </si>
  <si>
    <t>畜神和猪神的cp粉，胡老师歌迷，不是没赛打只是想解说的代表人物</t>
  </si>
  <si>
    <t>Horizon</t>
  </si>
  <si>
    <t>保枪咯</t>
  </si>
  <si>
    <t>宇文成都</t>
  </si>
  <si>
    <t>笑败大神最忠诚的保安，冠绝以下无敌手，最擅长欺软怕硬、仗势欺人；劣势路已经被我玩穿了，打3对4要求很高，所以自己去打4了；</t>
  </si>
  <si>
    <t>子熙</t>
  </si>
  <si>
    <t>子熙六世</t>
  </si>
  <si>
    <t>二,三,四,五</t>
  </si>
  <si>
    <t>目前战绩：一轮游×2，两轮游×1，谨慎选择</t>
  </si>
  <si>
    <t>LuYu</t>
  </si>
  <si>
    <t>αme</t>
  </si>
  <si>
    <t>Vamoose</t>
  </si>
  <si>
    <t>yyyy</t>
  </si>
  <si>
    <t>luu</t>
  </si>
  <si>
    <t>打爆对面 or 被对面打爆</t>
  </si>
  <si>
    <t>玖黎</t>
  </si>
  <si>
    <t>Anssha</t>
  </si>
  <si>
    <t>不要欺负我</t>
  </si>
  <si>
    <t>一万年没打了</t>
  </si>
  <si>
    <t>Ronin</t>
  </si>
  <si>
    <t>帅气逼人</t>
  </si>
  <si>
    <t>21克星</t>
  </si>
  <si>
    <t>恕</t>
  </si>
  <si>
    <t>想赢的人脸上没有笑容</t>
  </si>
  <si>
    <t>林三酒</t>
  </si>
  <si>
    <t>林39</t>
  </si>
  <si>
    <t>Melancholy</t>
  </si>
  <si>
    <t>赛阔你嗨铁鸭子哒！</t>
  </si>
  <si>
    <t>进可炸线，退可查无此人</t>
  </si>
  <si>
    <t>杜麦尼</t>
  </si>
  <si>
    <t>遇弱则弱，遇强则G</t>
  </si>
  <si>
    <t>Hungover</t>
  </si>
  <si>
    <t>天地一刀斩</t>
  </si>
  <si>
    <t>懂王迷弟</t>
  </si>
  <si>
    <t>小肥羊</t>
  </si>
  <si>
    <t>x1aofeiyang</t>
  </si>
  <si>
    <t>无需多言</t>
  </si>
  <si>
    <t>李嘉宁大哥哥😕</t>
  </si>
  <si>
    <t>TRUENO</t>
  </si>
  <si>
    <t>PP精品前任队友</t>
  </si>
  <si>
    <t>喜欢鲇川圆</t>
  </si>
  <si>
    <t>D4C</t>
  </si>
  <si>
    <t>喜欢玩鸟</t>
  </si>
  <si>
    <t>壕</t>
  </si>
  <si>
    <t>nem</t>
  </si>
  <si>
    <t>只会躺</t>
  </si>
  <si>
    <t>心念（风九九）</t>
  </si>
  <si>
    <t>低分C，保笑派</t>
  </si>
  <si>
    <t>风六六</t>
  </si>
  <si>
    <t>小行星神，精通基本所有远程酱油</t>
  </si>
  <si>
    <t>谁的猛犸叫珍珠</t>
  </si>
  <si>
    <t>初具人形</t>
  </si>
  <si>
    <t>军</t>
  </si>
  <si>
    <t>怒斩坑货</t>
  </si>
  <si>
    <t>每把都拉满，绝不摆烂</t>
  </si>
  <si>
    <t>饼</t>
  </si>
  <si>
    <t>那就选饼啊</t>
  </si>
  <si>
    <t>分很水</t>
  </si>
  <si>
    <t>dalinya</t>
  </si>
  <si>
    <t>李秀莲</t>
  </si>
  <si>
    <t>iceice</t>
  </si>
  <si>
    <t>LZS群青</t>
  </si>
  <si>
    <t>Revolutionary King</t>
  </si>
  <si>
    <t>kaze</t>
  </si>
  <si>
    <t>五,四</t>
  </si>
  <si>
    <t>账号分数是让高分男神带妹时打上去的，实际可能也就统帅水平，评级与实际水平严重不符，选择请慎重</t>
  </si>
  <si>
    <t>茕茕白兔东奔西顾衣不如新人不如故</t>
  </si>
  <si>
    <t>茕茕白兔，东奔西顾</t>
  </si>
  <si>
    <t>最具人气的超新星狗头选手</t>
  </si>
  <si>
    <t>Ryoko凉子</t>
  </si>
  <si>
    <t>Ryoko</t>
  </si>
  <si>
    <t>1是乱玩的，让我打5</t>
  </si>
  <si>
    <t>周粲 AZ</t>
  </si>
  <si>
    <t>HB</t>
  </si>
  <si>
    <t>一,三,四</t>
  </si>
  <si>
    <t>刷刷打打</t>
  </si>
  <si>
    <t>Kevin</t>
  </si>
  <si>
    <t>KK</t>
  </si>
  <si>
    <t>三,四,一</t>
  </si>
  <si>
    <t>主3 副4 可以打1，真实分数3500</t>
  </si>
  <si>
    <t>爱喝可乐的帅哥！</t>
  </si>
  <si>
    <t>winter</t>
  </si>
  <si>
    <t>若叶睦 mortis</t>
  </si>
  <si>
    <t>一号位练习生，辅助玩的更好可能5000分？号的分是朋友玩的（）</t>
  </si>
  <si>
    <t>小橙皮～</t>
  </si>
  <si>
    <t>笑败giegie十年铁粉</t>
  </si>
  <si>
    <t>霹雳铁手</t>
  </si>
  <si>
    <t>动物世界</t>
  </si>
  <si>
    <t>三,四,五,一,二</t>
  </si>
  <si>
    <t>上帝的左膀右臂</t>
  </si>
  <si>
    <t>nox</t>
  </si>
  <si>
    <t>幻月病</t>
  </si>
  <si>
    <t>时间充裕，不鸽。分数是被四个高分男神带上去的，水分很大。</t>
  </si>
  <si>
    <t>bodySliver</t>
  </si>
  <si>
    <t>ArianaW</t>
  </si>
  <si>
    <t>大哥的小棉袄</t>
  </si>
  <si>
    <t>不太会玩</t>
  </si>
  <si>
    <t>一大锅鱼</t>
  </si>
  <si>
    <t>九尾鱼</t>
  </si>
  <si>
    <t>江君</t>
  </si>
  <si>
    <t>Shera</t>
  </si>
  <si>
    <t>Amie</t>
  </si>
  <si>
    <t>统帅分段新星三号位，dddd</t>
  </si>
  <si>
    <t>good yang</t>
  </si>
  <si>
    <t>给你机会你也不中用啊</t>
  </si>
  <si>
    <t>打辅助会把大哥保到爽，线上直接把对面打开花</t>
  </si>
  <si>
    <t>罪C</t>
  </si>
  <si>
    <t>想成为ame</t>
  </si>
  <si>
    <t>别有压力怪</t>
  </si>
  <si>
    <t>寥寥</t>
  </si>
  <si>
    <t>主要玩2345</t>
  </si>
  <si>
    <t>反反反弹</t>
  </si>
  <si>
    <t>Monkey Killer</t>
  </si>
  <si>
    <t>豆豆</t>
  </si>
  <si>
    <t>春雨</t>
  </si>
  <si>
    <t>恋如雨止</t>
  </si>
  <si>
    <t>扛压就完事了，团队装发射器</t>
  </si>
  <si>
    <t>YYT</t>
  </si>
  <si>
    <t>白白白</t>
  </si>
  <si>
    <t>夕夕成玦</t>
  </si>
  <si>
    <t>黎曼</t>
  </si>
  <si>
    <t>左风右雷</t>
  </si>
  <si>
    <t>熟张</t>
  </si>
  <si>
    <t>来见见世面</t>
  </si>
  <si>
    <t>花基</t>
  </si>
  <si>
    <t>FolwerD</t>
  </si>
  <si>
    <t>一名勤奋上进的普通辅助玩家</t>
  </si>
  <si>
    <t>梅林</t>
  </si>
  <si>
    <t>鸭嘴兽</t>
  </si>
  <si>
    <t>行为分12000分，交流分12000分</t>
  </si>
  <si>
    <t>青风懿木</t>
  </si>
  <si>
    <t xml:space="preserve"> 墨染星辰云水间</t>
  </si>
  <si>
    <t>混分的</t>
  </si>
  <si>
    <t>一万两千八英雄只会仨</t>
  </si>
  <si>
    <t>小盆友管理员</t>
  </si>
  <si>
    <t>别来无恙</t>
  </si>
  <si>
    <t>弄潮小儿</t>
  </si>
  <si>
    <t>万年传奇仔</t>
  </si>
  <si>
    <t>倪</t>
  </si>
  <si>
    <t>中锋库里</t>
  </si>
  <si>
    <t>干啥啥不行 压力队友第一名，小黑屋监狱长，曾辅助万分大腿掉5000分；辅助1000分队友进小黑屋。小黑屋无人不知</t>
  </si>
  <si>
    <t>小乐</t>
  </si>
  <si>
    <t>辅助优先，其他位置也可客串</t>
  </si>
  <si>
    <t>Leo.</t>
  </si>
  <si>
    <t>胡老师歌迷</t>
  </si>
  <si>
    <t>宋。</t>
  </si>
  <si>
    <t>赤司</t>
  </si>
  <si>
    <t>你们只管选，剩到勒交给我。</t>
  </si>
  <si>
    <t>是你的小祖宗</t>
  </si>
  <si>
    <t>野马</t>
  </si>
  <si>
    <t>达盖尔旗帜</t>
  </si>
  <si>
    <t>雄鹰哥</t>
  </si>
  <si>
    <t>雄鹰一样的男人</t>
  </si>
  <si>
    <t>小诸葛亮</t>
  </si>
  <si>
    <t>欢迎回来</t>
  </si>
  <si>
    <t>日常4、5，也可1可3</t>
  </si>
  <si>
    <t>ling</t>
  </si>
  <si>
    <t>灵娥小师妹</t>
  </si>
  <si>
    <t>强哥</t>
  </si>
  <si>
    <t>全是脏分和代打
单排低谷1014分</t>
  </si>
  <si>
    <t>PaPier</t>
  </si>
  <si>
    <t>老菜比酱油，抗压一流</t>
  </si>
  <si>
    <t>小小Zuilekha</t>
  </si>
  <si>
    <t>手脚干净不偷大（xiao）哥（bai）的钱</t>
  </si>
  <si>
    <t>是susu啊</t>
  </si>
  <si>
    <t>Q</t>
  </si>
  <si>
    <t>听指挥</t>
  </si>
  <si>
    <t>丫丫</t>
  </si>
  <si>
    <t>ayayoooooo</t>
  </si>
  <si>
    <t>不到2000，还都是脏分</t>
  </si>
  <si>
    <t>米酒</t>
  </si>
  <si>
    <t>卫士绝活哥，任何3号位都是绝活</t>
  </si>
  <si>
    <t>云南红豆汤</t>
  </si>
  <si>
    <t>猫🐱狸子都要长十只果</t>
  </si>
  <si>
    <t>在座的各位都发财</t>
  </si>
  <si>
    <t>Upupup</t>
  </si>
  <si>
    <t>hey!im coming mmr</t>
  </si>
  <si>
    <t>武松</t>
  </si>
  <si>
    <t>赵子龙</t>
  </si>
  <si>
    <t>流水之勾玉</t>
  </si>
  <si>
    <t>爱上我吧纳西索斯</t>
  </si>
  <si>
    <t>小刘</t>
  </si>
  <si>
    <t>新世纪平衡</t>
  </si>
  <si>
    <t>龙</t>
  </si>
  <si>
    <t>阿威</t>
  </si>
  <si>
    <t>阿威十八式</t>
  </si>
  <si>
    <t>萌新</t>
  </si>
  <si>
    <t>浅灯</t>
  </si>
  <si>
    <t>谢夫涅</t>
  </si>
  <si>
    <t>纯粹的低手</t>
  </si>
  <si>
    <t>小斑马</t>
  </si>
  <si>
    <t>没有实力，全是话术</t>
  </si>
  <si>
    <t>腿哥哥</t>
  </si>
  <si>
    <t>超绝御萝</t>
  </si>
  <si>
    <t>赛季</t>
  </si>
  <si>
    <t>名称</t>
  </si>
  <si>
    <t>冠军</t>
  </si>
  <si>
    <t>S1</t>
  </si>
  <si>
    <t>马国臻巧</t>
  </si>
  <si>
    <t>S2</t>
  </si>
  <si>
    <t>醉耀春锋</t>
  </si>
  <si>
    <t>结束答题时间</t>
  </si>
  <si>
    <t>是否愿意成为队长</t>
  </si>
  <si>
    <t>否</t>
  </si>
  <si>
    <t>杜麦尼、老K、小刘、kevin未打过内战</t>
  </si>
  <si>
    <t>是</t>
  </si>
  <si>
    <t>精品陪</t>
  </si>
  <si>
    <t>Stacey</t>
  </si>
  <si>
    <t>kevin</t>
  </si>
  <si>
    <t>余生不过两万天</t>
  </si>
  <si>
    <t>luyaju</t>
  </si>
  <si>
    <t>老佛</t>
  </si>
  <si>
    <t>风九九</t>
  </si>
  <si>
    <t>Z</t>
  </si>
  <si>
    <t>oksven</t>
  </si>
  <si>
    <t>李嘉宁大哥哥</t>
  </si>
  <si>
    <t>see</t>
  </si>
  <si>
    <t>ZMJ</t>
  </si>
  <si>
    <t>^^</t>
  </si>
  <si>
    <t>哎呀哎呀</t>
  </si>
  <si>
    <t>Starling</t>
  </si>
  <si>
    <t>星河</t>
  </si>
  <si>
    <t>Devil__love</t>
  </si>
  <si>
    <t>心念</t>
  </si>
  <si>
    <t>小脑斧</t>
  </si>
  <si>
    <t>Y</t>
  </si>
  <si>
    <t>小雪</t>
  </si>
  <si>
    <t>funf</t>
  </si>
  <si>
    <t>summer夏</t>
  </si>
  <si>
    <t>鑫宇神</t>
  </si>
  <si>
    <t>牛哥</t>
  </si>
  <si>
    <t>fy</t>
  </si>
  <si>
    <t>iez</t>
  </si>
  <si>
    <t>阿鱼</t>
  </si>
  <si>
    <t>Thomas</t>
  </si>
  <si>
    <t>蟑螂</t>
  </si>
  <si>
    <t>end</t>
  </si>
  <si>
    <t>丫丫5</t>
  </si>
  <si>
    <t>陈34</t>
  </si>
  <si>
    <t>mistyR</t>
  </si>
  <si>
    <t>友人a</t>
  </si>
  <si>
    <t>老帅</t>
  </si>
  <si>
    <t>云</t>
  </si>
  <si>
    <t>阿布巴拉</t>
  </si>
  <si>
    <t>LING</t>
  </si>
  <si>
    <t>柬埔寨 fy</t>
  </si>
  <si>
    <t>drunk</t>
  </si>
  <si>
    <t>Summer、夏</t>
  </si>
  <si>
    <t>4000分中单申请出战</t>
  </si>
  <si>
    <t>connie</t>
  </si>
  <si>
    <t xml:space="preserve">拍卖时间：2026年3月19日 20:00
拍卖规则：
1.队长根据自身战力值不同，拍卖资金不同；
2.底价为战力值向下取整（如89战力值，拍卖价为80起），最低不能低于20；
3.队长有责任留足够底价，防止自己无法凑齐5人；
4.拍卖顺序采取阶梯式随机（如6000-8000打乱）。
</t>
  </si>
  <si>
    <t>平均战力*5*1.6-自己战力*1.6（90以上1.7</t>
  </si>
  <si>
    <t>感谢所有热心群友为爱发电，排名不分先后</t>
  </si>
  <si>
    <t>昵称</t>
  </si>
  <si>
    <t>赞助</t>
  </si>
  <si>
    <t>规则</t>
  </si>
  <si>
    <t>使用情况</t>
  </si>
  <si>
    <t>微雨</t>
  </si>
  <si>
    <t>红包封面×16</t>
  </si>
  <si>
    <t>胡老师</t>
  </si>
  <si>
    <t>花唧唧鼠标垫</t>
  </si>
  <si>
    <t>暴走</t>
  </si>
  <si>
    <t>2.6上帝暴走</t>
  </si>
  <si>
    <t>汉源车厘子啤酒6罐</t>
  </si>
  <si>
    <t>2.8KDA最高</t>
  </si>
  <si>
    <t>雅安藏茶（浓香型）</t>
  </si>
  <si>
    <t>2.9KDA最高</t>
  </si>
  <si>
    <t>蔬果干</t>
  </si>
  <si>
    <t>2.10辅助助攻最多</t>
  </si>
  <si>
    <t>2.11辅助死亡最少</t>
  </si>
  <si>
    <t>苹果黄芪元气茶</t>
  </si>
  <si>
    <t>2.7冠军</t>
  </si>
  <si>
    <t>已使用</t>
  </si>
  <si>
    <t>2.9冠军</t>
  </si>
  <si>
    <t>2.8冠军</t>
  </si>
  <si>
    <t>2.11冠军</t>
  </si>
  <si>
    <t>2.10冠军</t>
  </si>
  <si>
    <t>leo</t>
  </si>
  <si>
    <t>2.12冠军</t>
  </si>
  <si>
    <t>2.12 12348</t>
  </si>
  <si>
    <t>廷总</t>
  </si>
  <si>
    <t>解说每个bo3拿20</t>
  </si>
  <si>
    <t>解说积分换购</t>
  </si>
  <si>
    <t>马来王子</t>
  </si>
  <si>
    <t>马来西亚特产巧克力×5</t>
  </si>
  <si>
    <t>S1冠军</t>
  </si>
  <si>
    <t>牧马人K100机械键盘鼠标</t>
  </si>
  <si>
    <t>S1KDA最高</t>
  </si>
  <si>
    <t>3.2-3.3内战</t>
  </si>
  <si>
    <t>3.4内战</t>
  </si>
  <si>
    <t>3.11内战</t>
  </si>
  <si>
    <t>3.6助攻最高的妹妹</t>
  </si>
  <si>
    <t>致谢云天河老板倾情助力微雨杯
菱纱灵动，携侠风暖赛场；
梦璃清雅，蕴雅韵润初心。
双姝相映温柔在，
微雨相逢共此程。</t>
  </si>
  <si>
    <t>3.6妹妹均分</t>
  </si>
  <si>
    <t>🌨</t>
  </si>
  <si>
    <t>精品赞助商微雨老师</t>
  </si>
  <si>
    <t>精品上帝</t>
  </si>
  <si>
    <t>精品副群主</t>
  </si>
  <si>
    <t>精品秘书</t>
  </si>
  <si>
    <t>🍒招财喵՞</t>
  </si>
  <si>
    <t>精品脑子</t>
  </si>
  <si>
    <t>齐梓轩Leo</t>
  </si>
  <si>
    <t>精品全能</t>
  </si>
  <si>
    <t>这个夏天-北冥雪</t>
  </si>
  <si>
    <t>精品小狗</t>
  </si>
  <si>
    <t>反反反弹-廷总</t>
  </si>
  <si>
    <t>精品PM</t>
  </si>
  <si>
    <t>日月同错-骚骚</t>
  </si>
  <si>
    <t>精品程序员</t>
  </si>
  <si>
    <t>bobobo</t>
  </si>
  <si>
    <t>精品打酱油</t>
  </si>
  <si>
    <t>绮怀.-ling神</t>
  </si>
  <si>
    <t>精品牛马</t>
  </si>
  <si>
    <t>精品解说A</t>
  </si>
  <si>
    <t>精品解说B</t>
  </si>
  <si>
    <t>接龙序号</t>
  </si>
  <si>
    <t>战力值</t>
  </si>
  <si>
    <t>参考分数</t>
  </si>
  <si>
    <t>备注</t>
  </si>
  <si>
    <t>赛程（一晚上解决，突出一个短平快）</t>
  </si>
  <si>
    <t>A辞</t>
  </si>
  <si>
    <t>B秋</t>
  </si>
  <si>
    <t>总分</t>
  </si>
  <si>
    <t>C笑败</t>
  </si>
  <si>
    <t>D赤夜紫雨</t>
  </si>
  <si>
    <t>🏆</t>
  </si>
  <si>
    <t>E阿魂</t>
  </si>
  <si>
    <t>F大蟑螂</t>
  </si>
  <si>
    <t>陈</t>
  </si>
  <si>
    <t>rd BO3</t>
  </si>
  <si>
    <t>第1组BO1</t>
  </si>
  <si>
    <t>summer</t>
  </si>
  <si>
    <t>决赛bo1</t>
  </si>
  <si>
    <t>第2组BO1</t>
  </si>
  <si>
    <t>A风Ain-t</t>
  </si>
  <si>
    <t>BAA酒水范子</t>
  </si>
  <si>
    <t>队长</t>
  </si>
  <si>
    <t>12胜者BO1</t>
  </si>
  <si>
    <t>D柬埔寨fy</t>
  </si>
  <si>
    <t>决赛BO1</t>
  </si>
  <si>
    <t>➡️</t>
  </si>
  <si>
    <t>E蜡笔小雪</t>
  </si>
  <si>
    <t>Foksven</t>
  </si>
  <si>
    <t>第3组BO1BO1</t>
  </si>
  <si>
    <t>34胜者BO1</t>
  </si>
  <si>
    <t>G虎</t>
  </si>
  <si>
    <t>H恕</t>
  </si>
  <si>
    <t>第4组BO1BO1</t>
  </si>
  <si>
    <t>F</t>
  </si>
  <si>
    <t>B</t>
  </si>
  <si>
    <t>C</t>
  </si>
  <si>
    <t>冠军B</t>
  </si>
  <si>
    <t>E</t>
  </si>
  <si>
    <t>败者骰子秽土转败者</t>
  </si>
  <si>
    <t>老五老六</t>
  </si>
  <si>
    <t>A 绮怀.</t>
  </si>
  <si>
    <t>B 忧郁的苹果君</t>
  </si>
  <si>
    <t>C 龙城林子</t>
  </si>
  <si>
    <t>D 清欢不渡</t>
  </si>
  <si>
    <t>E PP</t>
  </si>
  <si>
    <t>F 恕</t>
  </si>
  <si>
    <t>CE胜者</t>
  </si>
  <si>
    <t>败者骰子秽土转生者</t>
  </si>
  <si>
    <t>第3组BO1</t>
  </si>
  <si>
    <t>第4组BO1</t>
  </si>
  <si>
    <t>复活</t>
  </si>
  <si>
    <t>必须保留金额：剩余人员×30</t>
  </si>
  <si>
    <t>所有选手起拍价为30</t>
  </si>
  <si>
    <t>剩余：</t>
  </si>
  <si>
    <t>顶顶队</t>
  </si>
  <si>
    <t>柬埔寨kk</t>
  </si>
  <si>
    <t>外面排队</t>
  </si>
  <si>
    <t>顶顶</t>
  </si>
  <si>
    <t>小虎队</t>
  </si>
  <si>
    <t>YuuU（天辉4）</t>
  </si>
  <si>
    <t>败者组</t>
  </si>
  <si>
    <t>败者12BO1</t>
  </si>
  <si>
    <t>老七老八BO1</t>
  </si>
  <si>
    <t>💔</t>
  </si>
  <si>
    <t>败者34BO1</t>
  </si>
  <si>
    <t>A-小小Zuilekha</t>
  </si>
  <si>
    <t>F-风六六</t>
  </si>
  <si>
    <t>BO1</t>
  </si>
  <si>
    <t>E-nox</t>
  </si>
  <si>
    <t>总战力</t>
  </si>
  <si>
    <t>B-绮怀.</t>
  </si>
  <si>
    <t>C-招财喵</t>
  </si>
  <si>
    <t>D-梅林</t>
  </si>
  <si>
    <t>凉子</t>
  </si>
  <si>
    <t>G-Ryoko凉子</t>
  </si>
  <si>
    <t>H-荼霏</t>
  </si>
  <si>
    <t xml:space="preserve">   45   123 </t>
  </si>
  <si>
    <t>Y  80</t>
  </si>
  <si>
    <t>周</t>
  </si>
  <si>
    <t>8 30到 选到就第一轮轮空+5</t>
  </si>
  <si>
    <t>轮空</t>
  </si>
  <si>
    <t>佛</t>
  </si>
  <si>
    <t>多睡一会吧/做个好梦吧</t>
  </si>
  <si>
    <t>1号位3000 二号位300</t>
  </si>
  <si>
    <t>新手3上路，听指挥。2可当中单癞皮狗，服从安排1、4、5也可打</t>
  </si>
  <si>
    <t>西红柿不炒蛋（决赛北冥雪）</t>
  </si>
  <si>
    <t>心态最好，没有之一，不接收反驳，Ps：三号位正在练，不太熟练</t>
  </si>
  <si>
    <t>eci eci eci</t>
  </si>
  <si>
    <t>温柔男人似海洋</t>
  </si>
  <si>
    <t>啊吧啊吧、玻璃心</t>
  </si>
  <si>
    <t>不准欺负花基基</t>
  </si>
  <si>
    <t>【赛事奖励】冠军队伍100元现金，KDA最高选手一盒浓香藏茶（暴走触发隐藏奖励）</t>
  </si>
  <si>
    <t>Summer 丶夏</t>
  </si>
  <si>
    <t>畜</t>
  </si>
  <si>
    <t>1号位3000 二号位3000 三号位300（有胸肌，有腹肌，也有股四头肌）</t>
  </si>
  <si>
    <t>三猫一滚puck 拉席克女王小小，笑败大神毒唯</t>
  </si>
  <si>
    <t> 李嘉宁大哥哥😕 </t>
  </si>
  <si>
    <t>恕（复活）</t>
  </si>
  <si>
    <t>单线程，听指挥，冲冲冲</t>
  </si>
  <si>
    <t>每个位置都可以玩版本赖子，究极癞皮狗+混子，无责任</t>
  </si>
  <si>
    <t>End（马来王子）</t>
  </si>
  <si>
    <t xml:space="preserve">godf </t>
  </si>
  <si>
    <t xml:space="preserve">TraxZ </t>
  </si>
  <si>
    <t>富有且脾气好</t>
  </si>
  <si>
    <t xml:space="preserve"> ZMJ</t>
  </si>
  <si>
    <r>
      <rPr>
        <sz val="10"/>
        <color rgb="FF000000"/>
        <rFont val="宋体"/>
        <charset val="134"/>
      </rPr>
      <t>End（马来王子）</t>
    </r>
    <r>
      <rPr>
        <sz val="10"/>
        <color rgb="FFFF9C99"/>
        <rFont val="宋体"/>
        <charset val="134"/>
      </rPr>
      <t>弃权</t>
    </r>
  </si>
  <si>
    <t xml:space="preserve"> 万年传奇仔</t>
  </si>
  <si>
    <t>不仅c打得烂，酱油也玩得一般呀，主要是想见见世面</t>
  </si>
  <si>
    <t>陈奕迅分讯 李克勤分勤 但是我要当rapper</t>
  </si>
  <si>
    <t>三号位是扛起进攻大旗的猛男，不是你们口中的贱狗（帅哥）</t>
  </si>
  <si>
    <t>冠军奖励：100RMB</t>
  </si>
  <si>
    <t>上帝赞助</t>
  </si>
  <si>
    <t>最高kda奖励：汉源车厘子啤酒6罐</t>
  </si>
  <si>
    <t>胡老师赞助</t>
  </si>
  <si>
    <t>steam数字id</t>
  </si>
  <si>
    <t>2026.2.7宝可梦选人</t>
  </si>
  <si>
    <t>万分男神</t>
  </si>
  <si>
    <t>8:30/9:00</t>
  </si>
  <si>
    <t>菜</t>
  </si>
  <si>
    <t>牢y 顶级酱油（123狗屎）</t>
  </si>
  <si>
    <t>高手1，可串3</t>
  </si>
  <si>
    <t>高级辅助</t>
  </si>
  <si>
    <t>三猫一滚puck 拉席克女王小小</t>
  </si>
  <si>
    <t>天命，主1副2</t>
  </si>
  <si>
    <t>谁来中路都是55开</t>
  </si>
  <si>
    <t>云玩家</t>
  </si>
  <si>
    <t>梨杯冠军辅助</t>
  </si>
  <si>
    <t>上帝前任三号位</t>
  </si>
  <si>
    <t>3000-4000分</t>
  </si>
  <si>
    <t>微雨杯双冠王，三冠追逐者</t>
  </si>
  <si>
    <t>秋神亲手调教的辅助</t>
  </si>
  <si>
    <t>很会抗压</t>
  </si>
  <si>
    <t>妹妹绝活天怒</t>
  </si>
  <si>
    <t>设计师花唧唧</t>
  </si>
  <si>
    <t>喜欢玩点搞人4号位</t>
  </si>
  <si>
    <t>上帝队</t>
  </si>
  <si>
    <t>阿鱼队</t>
  </si>
  <si>
    <t>笑面佛队</t>
  </si>
  <si>
    <t>风队</t>
  </si>
  <si>
    <t>（总分：29149）</t>
  </si>
  <si>
    <t>（总分：29880）</t>
  </si>
  <si>
    <t>（总分：29950）</t>
  </si>
  <si>
    <t>（总分：29500）</t>
  </si>
  <si>
    <t>2026.2.6【微雨杯·季前小内战】时间8点 模式cw</t>
  </si>
  <si>
    <t>笑败大神的粉丝</t>
  </si>
  <si>
    <t>位置</t>
  </si>
  <si>
    <t>介绍</t>
  </si>
  <si>
    <t>分队</t>
  </si>
  <si>
    <t>A队</t>
  </si>
  <si>
    <t>B队</t>
  </si>
  <si>
    <t>平均分</t>
  </si>
  <si>
    <t>编号</t>
  </si>
  <si>
    <t>事项</t>
  </si>
  <si>
    <t>解决办法</t>
  </si>
  <si>
    <t>比赛中发送轮盘【技不如人，甘拜下风（GG）】后，取消认输倒计时</t>
  </si>
  <si>
    <t>赛前由队长明确告知所有队员不得发送该轮盘，认输需由全队协商。</t>
  </si>
  <si>
    <t>缺赛/临时退赛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</si>
</sst>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\¥#,##0;[Red]\-\¥#,##0"/>
    <numFmt numFmtId="177" formatCode="yyyy/m/d\ h:mm:ss;@"/>
  </numFmts>
  <fonts count="66">
    <font>
      <sz val="10"/>
      <name val="Microsoft YaHei"/>
      <charset val="134"/>
    </font>
    <font>
      <sz val="14"/>
      <name val="KaiTi"/>
      <charset val="134"/>
    </font>
    <font>
      <sz val="9"/>
      <name val="Microsoft YaHei"/>
      <charset val="134"/>
    </font>
    <font>
      <b/>
      <sz val="10"/>
      <color rgb="FF9E1E1A"/>
      <name val="Microsoft YaHei"/>
      <charset val="134"/>
    </font>
    <font>
      <sz val="10"/>
      <color rgb="FFC00000"/>
      <name val="Microsoft YaHei"/>
      <charset val="134"/>
    </font>
    <font>
      <b/>
      <sz val="10"/>
      <name val="Microsoft YaHei"/>
      <charset val="134"/>
    </font>
    <font>
      <b/>
      <sz val="10"/>
      <color rgb="FFC00000"/>
      <name val="Microsoft YaHei"/>
      <charset val="134"/>
    </font>
    <font>
      <b/>
      <sz val="10"/>
      <color rgb="FFFFFFFF"/>
      <name val="Microsoft YaHei"/>
      <charset val="134"/>
    </font>
    <font>
      <sz val="14"/>
      <color rgb="FFFFFFFF"/>
      <name val="Motiva Sans"/>
      <charset val="134"/>
    </font>
    <font>
      <b/>
      <sz val="10"/>
      <color rgb="FFE5F6FF"/>
      <name val="Microsoft YaHei"/>
      <charset val="134"/>
    </font>
    <font>
      <sz val="10"/>
      <color rgb="FF000000"/>
      <name val="Segoe UI Symbol"/>
      <charset val="134"/>
    </font>
    <font>
      <b/>
      <sz val="10"/>
      <color rgb="FF0070C0"/>
      <name val="Microsoft YaHei"/>
      <charset val="134"/>
    </font>
    <font>
      <sz val="10"/>
      <color rgb="FF2972F4"/>
      <name val="Microsoft YaHei"/>
      <charset val="134"/>
    </font>
    <font>
      <b/>
      <sz val="9"/>
      <color rgb="FF0070C0"/>
      <name val="Microsoft YaHei"/>
      <charset val="134"/>
    </font>
    <font>
      <sz val="9"/>
      <color rgb="FF2972F4"/>
      <name val="Microsoft YaHei"/>
      <charset val="134"/>
    </font>
    <font>
      <sz val="10"/>
      <color rgb="FF000000"/>
      <name val="Microsoft YaHei"/>
      <charset val="134"/>
    </font>
    <font>
      <sz val="9"/>
      <color rgb="FF000000"/>
      <name val="Microsoft YaHei"/>
      <charset val="134"/>
    </font>
    <font>
      <b/>
      <sz val="12"/>
      <color rgb="FF5E2281"/>
      <name val="Microsoft YaHei"/>
      <charset val="134"/>
    </font>
    <font>
      <b/>
      <sz val="10"/>
      <color rgb="FFC7ECFF"/>
      <name val="Microsoft YaHei"/>
      <charset val="134"/>
    </font>
    <font>
      <sz val="12"/>
      <name val="Microsoft YaHei"/>
      <charset val="134"/>
    </font>
    <font>
      <sz val="12"/>
      <name val="SimSun"/>
      <charset val="134"/>
    </font>
    <font>
      <sz val="14"/>
      <name val="黑体"/>
      <charset val="134"/>
    </font>
    <font>
      <b/>
      <sz val="14"/>
      <name val="Microsoft YaHei"/>
      <charset val="134"/>
    </font>
    <font>
      <sz val="11"/>
      <name val="SimHei"/>
      <charset val="134"/>
    </font>
    <font>
      <sz val="16"/>
      <name val="Microsoft YaHei"/>
      <charset val="134"/>
    </font>
    <font>
      <sz val="10"/>
      <color rgb="FFE5F6FF"/>
      <name val="Microsoft YaHei"/>
      <charset val="134"/>
    </font>
    <font>
      <sz val="12"/>
      <name val="SimHei"/>
      <charset val="134"/>
    </font>
    <font>
      <b/>
      <sz val="16"/>
      <name val="黑体"/>
      <charset val="134"/>
    </font>
    <font>
      <sz val="11"/>
      <name val="宋体"/>
      <charset val="134"/>
    </font>
    <font>
      <sz val="10"/>
      <name val="黑体"/>
      <charset val="134"/>
    </font>
    <font>
      <sz val="10"/>
      <name val="宋体"/>
      <charset val="134"/>
    </font>
    <font>
      <sz val="10"/>
      <color rgb="FF0F1115"/>
      <name val="黑体"/>
      <charset val="134"/>
    </font>
    <font>
      <sz val="11"/>
      <name val="Microsoft YaHei"/>
      <charset val="134"/>
    </font>
    <font>
      <sz val="16"/>
      <color rgb="FF000000"/>
      <name val="SimHei"/>
      <charset val="134"/>
    </font>
    <font>
      <b/>
      <sz val="12"/>
      <name val="Microsoft YaHei"/>
      <charset val="134"/>
    </font>
    <font>
      <b/>
      <sz val="12"/>
      <color rgb="FFC00000"/>
      <name val="Microsoft YaHei"/>
      <charset val="134"/>
    </font>
    <font>
      <sz val="9"/>
      <color rgb="FF7E7E7E"/>
      <name val="Motiva San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color rgb="FF000000"/>
      <name val="宋体"/>
      <charset val="134"/>
    </font>
    <font>
      <sz val="10"/>
      <color rgb="FFFF9C99"/>
      <name val="宋体"/>
      <charset val="134"/>
    </font>
    <font>
      <u/>
      <sz val="10"/>
      <color rgb="FF175CEB"/>
      <name val="宋体"/>
      <charset val="134"/>
    </font>
    <font>
      <sz val="11"/>
      <color rgb="FF000000"/>
      <name val="Microsoft YaHei"/>
      <charset val="134"/>
    </font>
    <font>
      <b/>
      <sz val="11"/>
      <color rgb="FFFF0000"/>
      <name val="Microsoft YaHei"/>
      <charset val="134"/>
    </font>
    <font>
      <b/>
      <sz val="10"/>
      <color rgb="FFFF0000"/>
      <name val="Microsoft YaHei"/>
      <charset val="134"/>
    </font>
    <font>
      <sz val="10"/>
      <color rgb="FF000000"/>
      <name val="黑体"/>
      <charset val="134"/>
    </font>
    <font>
      <b/>
      <sz val="10"/>
      <color rgb="FFFF0000"/>
      <name val="黑体"/>
      <charset val="134"/>
    </font>
    <font>
      <u/>
      <sz val="9"/>
      <color rgb="FF175CEB"/>
      <name val="Motiva Sans"/>
      <charset val="134"/>
    </font>
  </fonts>
  <fills count="125">
    <fill>
      <patternFill patternType="none"/>
    </fill>
    <fill>
      <patternFill patternType="gray125"/>
    </fill>
    <fill>
      <patternFill patternType="solid">
        <fgColor rgb="FF8CDDFA"/>
        <bgColor indexed="64"/>
      </patternFill>
    </fill>
    <fill>
      <patternFill patternType="solid">
        <fgColor rgb="FFFFE270"/>
        <bgColor indexed="64"/>
      </patternFill>
    </fill>
    <fill>
      <patternFill patternType="solid">
        <fgColor rgb="FFC7DCFF"/>
        <bgColor indexed="64"/>
      </patternFill>
    </fill>
    <fill>
      <patternFill patternType="solid">
        <fgColor rgb="FFFFC9C7"/>
        <bgColor indexed="64"/>
      </patternFill>
    </fill>
    <fill>
      <patternFill patternType="solid">
        <fgColor rgb="FF98D7B6"/>
        <bgColor indexed="64"/>
      </patternFill>
    </fill>
    <fill>
      <patternFill patternType="solid">
        <fgColor rgb="FFFFBA84"/>
        <bgColor indexed="64"/>
      </patternFill>
    </fill>
    <fill>
      <patternFill patternType="solid">
        <fgColor rgb="FF3B1551"/>
        <bgColor indexed="64"/>
      </patternFill>
    </fill>
    <fill>
      <patternFill patternType="solid">
        <fgColor rgb="FFC7ECFF"/>
        <bgColor indexed="64"/>
      </patternFill>
    </fill>
    <fill>
      <patternFill patternType="solid">
        <fgColor rgb="FFC3EAD5"/>
        <bgColor indexed="64"/>
      </patternFill>
    </fill>
    <fill>
      <patternFill patternType="solid">
        <fgColor rgb="FFFFDCC4"/>
        <bgColor indexed="64"/>
      </patternFill>
    </fill>
    <fill>
      <patternFill patternType="solid">
        <fgColor rgb="FFFFF9E3"/>
        <bgColor indexed="64"/>
      </patternFill>
    </fill>
    <fill>
      <patternFill patternType="solid">
        <fgColor rgb="FFFDEBFF"/>
        <bgColor indexed="64"/>
      </patternFill>
    </fill>
    <fill>
      <patternFill patternType="solid">
        <fgColor rgb="FFFFE9E8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99DDFF"/>
        <bgColor indexed="64"/>
      </patternFill>
    </fill>
    <fill>
      <patternFill patternType="solid">
        <fgColor rgb="FFF2C7FF"/>
        <bgColor indexed="64"/>
      </patternFill>
    </fill>
    <fill>
      <patternFill patternType="solid">
        <fgColor rgb="FFFFEEAD"/>
        <bgColor indexed="64"/>
      </patternFill>
    </fill>
    <fill>
      <patternFill patternType="solid">
        <fgColor rgb="FFC5CAD3"/>
        <bgColor indexed="64"/>
      </patternFill>
    </fill>
    <fill>
      <patternFill patternType="solid">
        <fgColor rgb="FF99BEFF"/>
        <bgColor indexed="64"/>
      </patternFill>
    </fill>
    <fill>
      <patternFill patternType="solid">
        <fgColor rgb="FF2972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E3C3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9C99"/>
        <bgColor indexed="64"/>
      </patternFill>
    </fill>
    <fill>
      <patternFill patternType="solid">
        <fgColor rgb="FF0D0D0D"/>
        <bgColor indexed="64"/>
      </patternFill>
    </fill>
    <fill>
      <patternFill patternType="solid">
        <fgColor rgb="FFD58EFF"/>
        <bgColor indexed="64"/>
      </patternFill>
    </fill>
    <fill>
      <patternFill patternType="solid">
        <fgColor rgb="FFC7CC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00A3F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D2DE81"/>
        <bgColor indexed="64"/>
      </patternFill>
    </fill>
    <fill>
      <patternFill patternType="solid">
        <fgColor rgb="FFF8696B"/>
        <bgColor indexed="64"/>
      </patternFill>
    </fill>
    <fill>
      <patternFill patternType="solid">
        <fgColor rgb="FFF8706C"/>
        <bgColor indexed="64"/>
      </patternFill>
    </fill>
    <fill>
      <patternFill patternType="solid">
        <fgColor rgb="FFF86C6B"/>
        <bgColor indexed="64"/>
      </patternFill>
    </fill>
    <fill>
      <patternFill patternType="solid">
        <fgColor rgb="FFF8746D"/>
        <bgColor indexed="64"/>
      </patternFill>
    </fill>
    <fill>
      <patternFill patternType="solid">
        <fgColor rgb="FFF8776D"/>
        <bgColor indexed="64"/>
      </patternFill>
    </fill>
    <fill>
      <patternFill patternType="solid">
        <fgColor rgb="FFF87B6E"/>
        <bgColor indexed="64"/>
      </patternFill>
    </fill>
    <fill>
      <patternFill patternType="solid">
        <fgColor rgb="FFF97F6F"/>
        <bgColor indexed="64"/>
      </patternFill>
    </fill>
    <fill>
      <patternFill patternType="solid">
        <fgColor rgb="FFF98370"/>
        <bgColor indexed="64"/>
      </patternFill>
    </fill>
    <fill>
      <patternFill patternType="solid">
        <fgColor rgb="FFF98670"/>
        <bgColor indexed="64"/>
      </patternFill>
    </fill>
    <fill>
      <patternFill patternType="solid">
        <fgColor rgb="FFF98A71"/>
        <bgColor indexed="64"/>
      </patternFill>
    </fill>
    <fill>
      <patternFill patternType="solid">
        <fgColor rgb="FFF98E72"/>
        <bgColor indexed="64"/>
      </patternFill>
    </fill>
    <fill>
      <patternFill patternType="solid">
        <fgColor rgb="FFFA9573"/>
        <bgColor indexed="64"/>
      </patternFill>
    </fill>
    <fill>
      <patternFill patternType="solid">
        <fgColor rgb="FFFA9974"/>
        <bgColor indexed="64"/>
      </patternFill>
    </fill>
    <fill>
      <patternFill patternType="solid">
        <fgColor rgb="FFFCBE7B"/>
        <bgColor indexed="64"/>
      </patternFill>
    </fill>
    <fill>
      <patternFill patternType="solid">
        <fgColor rgb="FFFA9D75"/>
        <bgColor indexed="64"/>
      </patternFill>
    </fill>
    <fill>
      <patternFill patternType="solid">
        <fgColor rgb="FFFAA075"/>
        <bgColor indexed="64"/>
      </patternFill>
    </fill>
    <fill>
      <patternFill patternType="solid">
        <fgColor rgb="FFFBA877"/>
        <bgColor indexed="64"/>
      </patternFill>
    </fill>
    <fill>
      <patternFill patternType="solid">
        <fgColor rgb="FFFBAB77"/>
        <bgColor indexed="64"/>
      </patternFill>
    </fill>
    <fill>
      <patternFill patternType="solid">
        <fgColor rgb="FFFCB379"/>
        <bgColor indexed="64"/>
      </patternFill>
    </fill>
    <fill>
      <patternFill patternType="solid">
        <fgColor rgb="FFFCB77A"/>
        <bgColor indexed="64"/>
      </patternFill>
    </fill>
    <fill>
      <patternFill patternType="solid">
        <fgColor rgb="FFFCBA7A"/>
        <bgColor indexed="64"/>
      </patternFill>
    </fill>
    <fill>
      <patternFill patternType="solid">
        <fgColor rgb="FFFCC27C"/>
        <bgColor indexed="64"/>
      </patternFill>
    </fill>
    <fill>
      <patternFill patternType="solid">
        <fgColor rgb="FFFDC57C"/>
        <bgColor indexed="64"/>
      </patternFill>
    </fill>
    <fill>
      <patternFill patternType="solid">
        <fgColor rgb="FFFDC97D"/>
        <bgColor indexed="64"/>
      </patternFill>
    </fill>
    <fill>
      <patternFill patternType="solid">
        <fgColor rgb="FFFED880"/>
        <bgColor indexed="64"/>
      </patternFill>
    </fill>
    <fill>
      <patternFill patternType="solid">
        <fgColor rgb="FFFEDC81"/>
        <bgColor indexed="64"/>
      </patternFill>
    </fill>
    <fill>
      <patternFill patternType="solid">
        <fgColor rgb="FFFEDF81"/>
        <bgColor indexed="64"/>
      </patternFill>
    </fill>
    <fill>
      <patternFill patternType="solid">
        <fgColor rgb="FFFCEA83"/>
        <bgColor indexed="64"/>
      </patternFill>
    </fill>
    <fill>
      <patternFill patternType="solid">
        <fgColor rgb="FFFFEB84"/>
        <bgColor indexed="64"/>
      </patternFill>
    </fill>
    <fill>
      <patternFill patternType="solid">
        <fgColor rgb="FFFAE983"/>
        <bgColor indexed="64"/>
      </patternFill>
    </fill>
    <fill>
      <patternFill patternType="solid">
        <fgColor rgb="FFF6E883"/>
        <bgColor indexed="64"/>
      </patternFill>
    </fill>
    <fill>
      <patternFill patternType="solid">
        <fgColor rgb="FFF1E783"/>
        <bgColor indexed="64"/>
      </patternFill>
    </fill>
    <fill>
      <patternFill patternType="solid">
        <fgColor rgb="FFE8E482"/>
        <bgColor indexed="64"/>
      </patternFill>
    </fill>
    <fill>
      <patternFill patternType="solid">
        <fgColor rgb="FFE4E382"/>
        <bgColor indexed="64"/>
      </patternFill>
    </fill>
    <fill>
      <patternFill patternType="solid">
        <fgColor rgb="FFDFE282"/>
        <bgColor indexed="64"/>
      </patternFill>
    </fill>
    <fill>
      <patternFill patternType="solid">
        <fgColor rgb="FFDBE081"/>
        <bgColor indexed="64"/>
      </patternFill>
    </fill>
    <fill>
      <patternFill patternType="solid">
        <fgColor rgb="FFD6DF81"/>
        <bgColor indexed="64"/>
      </patternFill>
    </fill>
    <fill>
      <patternFill patternType="solid">
        <fgColor rgb="FFCDDC81"/>
        <bgColor indexed="64"/>
      </patternFill>
    </fill>
    <fill>
      <patternFill patternType="solid">
        <fgColor rgb="FFC9DB80"/>
        <bgColor indexed="64"/>
      </patternFill>
    </fill>
    <fill>
      <patternFill patternType="solid">
        <fgColor rgb="FFC5DA80"/>
        <bgColor indexed="64"/>
      </patternFill>
    </fill>
    <fill>
      <patternFill patternType="solid">
        <fgColor rgb="FFC0D980"/>
        <bgColor indexed="64"/>
      </patternFill>
    </fill>
    <fill>
      <patternFill patternType="solid">
        <fgColor rgb="FFBCD780"/>
        <bgColor indexed="64"/>
      </patternFill>
    </fill>
    <fill>
      <patternFill patternType="solid">
        <fgColor rgb="FFB7D67F"/>
        <bgColor indexed="64"/>
      </patternFill>
    </fill>
    <fill>
      <patternFill patternType="solid">
        <fgColor rgb="FFB3D57F"/>
        <bgColor indexed="64"/>
      </patternFill>
    </fill>
    <fill>
      <patternFill patternType="solid">
        <fgColor rgb="FFAED37F"/>
        <bgColor indexed="64"/>
      </patternFill>
    </fill>
    <fill>
      <patternFill patternType="solid">
        <fgColor rgb="FFA5D17E"/>
        <bgColor indexed="64"/>
      </patternFill>
    </fill>
    <fill>
      <patternFill patternType="solid">
        <fgColor rgb="FFA1D07E"/>
        <bgColor indexed="64"/>
      </patternFill>
    </fill>
    <fill>
      <patternFill patternType="solid">
        <fgColor rgb="FF9CCE7E"/>
        <bgColor indexed="64"/>
      </patternFill>
    </fill>
    <fill>
      <patternFill patternType="solid">
        <fgColor rgb="FF98CD7E"/>
        <bgColor indexed="64"/>
      </patternFill>
    </fill>
    <fill>
      <patternFill patternType="solid">
        <fgColor rgb="FF8FCA7D"/>
        <bgColor indexed="64"/>
      </patternFill>
    </fill>
    <fill>
      <patternFill patternType="solid">
        <fgColor rgb="FF8BC97D"/>
        <bgColor indexed="64"/>
      </patternFill>
    </fill>
    <fill>
      <patternFill patternType="solid">
        <fgColor rgb="FF86C87D"/>
        <bgColor indexed="64"/>
      </patternFill>
    </fill>
    <fill>
      <patternFill patternType="solid">
        <fgColor rgb="FF7DC57C"/>
        <bgColor indexed="64"/>
      </patternFill>
    </fill>
    <fill>
      <patternFill patternType="solid">
        <fgColor rgb="FF79C47C"/>
        <bgColor indexed="64"/>
      </patternFill>
    </fill>
    <fill>
      <patternFill patternType="solid">
        <fgColor rgb="FF63BE7B"/>
        <bgColor indexed="64"/>
      </patternFill>
    </fill>
    <fill>
      <patternFill patternType="solid">
        <fgColor rgb="FFE5EFFF"/>
        <bgColor indexed="64"/>
      </patternFill>
    </fill>
    <fill>
      <patternFill patternType="solid">
        <fgColor rgb="FFE5F6FF"/>
        <bgColor indexed="64"/>
      </patternFill>
    </fill>
    <fill>
      <patternFill patternType="solid">
        <fgColor rgb="FF808B9E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EAFAF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ck">
        <color rgb="FF5E2281"/>
      </left>
      <right style="thin">
        <color rgb="FF000000"/>
      </right>
      <top style="thick">
        <color rgb="FF5E2281"/>
      </top>
      <bottom style="thin">
        <color rgb="FF000000"/>
      </bottom>
      <diagonal/>
    </border>
    <border>
      <left style="thin">
        <color rgb="FF000000"/>
      </left>
      <right/>
      <top style="thick">
        <color rgb="FF5E2281"/>
      </top>
      <bottom style="thin">
        <color rgb="FF000000"/>
      </bottom>
      <diagonal/>
    </border>
    <border>
      <left style="thick">
        <color rgb="FF5E228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5E2281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ck">
        <color rgb="FF5E2281"/>
      </left>
      <right style="thin">
        <color rgb="FF000000"/>
      </right>
      <top style="thin">
        <color rgb="FF000000"/>
      </top>
      <bottom style="thick">
        <color rgb="FF5E2281"/>
      </bottom>
      <diagonal/>
    </border>
    <border>
      <left style="thin">
        <color rgb="FF000000"/>
      </left>
      <right/>
      <top style="thin">
        <color rgb="FF000000"/>
      </top>
      <bottom style="thick">
        <color rgb="FF5E2281"/>
      </bottom>
      <diagonal/>
    </border>
    <border>
      <left style="thin">
        <color rgb="FF000000"/>
      </left>
      <right style="thick">
        <color rgb="FF5E2281"/>
      </right>
      <top style="thick">
        <color rgb="FF5E228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5E2281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5E2281"/>
      </right>
      <top style="thin">
        <color rgb="FF000000"/>
      </top>
      <bottom style="thick">
        <color rgb="FF5E2281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7" fillId="0" borderId="0" applyFont="0" applyFill="0" applyBorder="0" applyAlignment="0" applyProtection="0">
      <alignment vertical="center"/>
    </xf>
    <xf numFmtId="44" fontId="37" fillId="0" borderId="0" applyFont="0" applyFill="0" applyBorder="0" applyAlignment="0" applyProtection="0">
      <alignment vertical="center"/>
    </xf>
    <xf numFmtId="9" fontId="37" fillId="0" borderId="0" applyFont="0" applyFill="0" applyBorder="0" applyAlignment="0" applyProtection="0">
      <alignment vertical="center"/>
    </xf>
    <xf numFmtId="41" fontId="37" fillId="0" borderId="0" applyFont="0" applyFill="0" applyBorder="0" applyAlignment="0" applyProtection="0">
      <alignment vertical="center"/>
    </xf>
    <xf numFmtId="42" fontId="37" fillId="0" borderId="0" applyFon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37" fillId="94" borderId="23" applyNumberFormat="0" applyFont="0" applyAlignment="0" applyProtection="0">
      <alignment vertical="center"/>
    </xf>
    <xf numFmtId="0" fontId="40" fillId="0" borderId="0" applyNumberFormat="0" applyFill="0" applyBorder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0" borderId="24" applyNumberFormat="0" applyFill="0" applyAlignment="0" applyProtection="0">
      <alignment vertical="center"/>
    </xf>
    <xf numFmtId="0" fontId="44" fillId="0" borderId="24" applyNumberFormat="0" applyFill="0" applyAlignment="0" applyProtection="0">
      <alignment vertical="center"/>
    </xf>
    <xf numFmtId="0" fontId="45" fillId="0" borderId="25" applyNumberFormat="0" applyFill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95" borderId="26" applyNumberFormat="0" applyAlignment="0" applyProtection="0">
      <alignment vertical="center"/>
    </xf>
    <xf numFmtId="0" fontId="47" fillId="96" borderId="27" applyNumberFormat="0" applyAlignment="0" applyProtection="0">
      <alignment vertical="center"/>
    </xf>
    <xf numFmtId="0" fontId="48" fillId="96" borderId="26" applyNumberFormat="0" applyAlignment="0" applyProtection="0">
      <alignment vertical="center"/>
    </xf>
    <xf numFmtId="0" fontId="49" fillId="97" borderId="28" applyNumberFormat="0" applyAlignment="0" applyProtection="0">
      <alignment vertical="center"/>
    </xf>
    <xf numFmtId="0" fontId="50" fillId="0" borderId="29" applyNumberFormat="0" applyFill="0" applyAlignment="0" applyProtection="0">
      <alignment vertical="center"/>
    </xf>
    <xf numFmtId="0" fontId="51" fillId="0" borderId="30" applyNumberFormat="0" applyFill="0" applyAlignment="0" applyProtection="0">
      <alignment vertical="center"/>
    </xf>
    <xf numFmtId="0" fontId="52" fillId="98" borderId="0" applyNumberFormat="0" applyBorder="0" applyAlignment="0" applyProtection="0">
      <alignment vertical="center"/>
    </xf>
    <xf numFmtId="0" fontId="53" fillId="99" borderId="0" applyNumberFormat="0" applyBorder="0" applyAlignment="0" applyProtection="0">
      <alignment vertical="center"/>
    </xf>
    <xf numFmtId="0" fontId="54" fillId="100" borderId="0" applyNumberFormat="0" applyBorder="0" applyAlignment="0" applyProtection="0">
      <alignment vertical="center"/>
    </xf>
    <xf numFmtId="0" fontId="55" fillId="101" borderId="0" applyNumberFormat="0" applyBorder="0" applyAlignment="0" applyProtection="0">
      <alignment vertical="center"/>
    </xf>
    <xf numFmtId="0" fontId="56" fillId="102" borderId="0" applyNumberFormat="0" applyBorder="0" applyAlignment="0" applyProtection="0">
      <alignment vertical="center"/>
    </xf>
    <xf numFmtId="0" fontId="56" fillId="103" borderId="0" applyNumberFormat="0" applyBorder="0" applyAlignment="0" applyProtection="0">
      <alignment vertical="center"/>
    </xf>
    <xf numFmtId="0" fontId="55" fillId="104" borderId="0" applyNumberFormat="0" applyBorder="0" applyAlignment="0" applyProtection="0">
      <alignment vertical="center"/>
    </xf>
    <xf numFmtId="0" fontId="55" fillId="105" borderId="0" applyNumberFormat="0" applyBorder="0" applyAlignment="0" applyProtection="0">
      <alignment vertical="center"/>
    </xf>
    <xf numFmtId="0" fontId="56" fillId="106" borderId="0" applyNumberFormat="0" applyBorder="0" applyAlignment="0" applyProtection="0">
      <alignment vertical="center"/>
    </xf>
    <xf numFmtId="0" fontId="56" fillId="107" borderId="0" applyNumberFormat="0" applyBorder="0" applyAlignment="0" applyProtection="0">
      <alignment vertical="center"/>
    </xf>
    <xf numFmtId="0" fontId="55" fillId="108" borderId="0" applyNumberFormat="0" applyBorder="0" applyAlignment="0" applyProtection="0">
      <alignment vertical="center"/>
    </xf>
    <xf numFmtId="0" fontId="55" fillId="109" borderId="0" applyNumberFormat="0" applyBorder="0" applyAlignment="0" applyProtection="0">
      <alignment vertical="center"/>
    </xf>
    <xf numFmtId="0" fontId="56" fillId="110" borderId="0" applyNumberFormat="0" applyBorder="0" applyAlignment="0" applyProtection="0">
      <alignment vertical="center"/>
    </xf>
    <xf numFmtId="0" fontId="56" fillId="111" borderId="0" applyNumberFormat="0" applyBorder="0" applyAlignment="0" applyProtection="0">
      <alignment vertical="center"/>
    </xf>
    <xf numFmtId="0" fontId="55" fillId="112" borderId="0" applyNumberFormat="0" applyBorder="0" applyAlignment="0" applyProtection="0">
      <alignment vertical="center"/>
    </xf>
    <xf numFmtId="0" fontId="55" fillId="113" borderId="0" applyNumberFormat="0" applyBorder="0" applyAlignment="0" applyProtection="0">
      <alignment vertical="center"/>
    </xf>
    <xf numFmtId="0" fontId="56" fillId="114" borderId="0" applyNumberFormat="0" applyBorder="0" applyAlignment="0" applyProtection="0">
      <alignment vertical="center"/>
    </xf>
    <xf numFmtId="0" fontId="56" fillId="115" borderId="0" applyNumberFormat="0" applyBorder="0" applyAlignment="0" applyProtection="0">
      <alignment vertical="center"/>
    </xf>
    <xf numFmtId="0" fontId="55" fillId="116" borderId="0" applyNumberFormat="0" applyBorder="0" applyAlignment="0" applyProtection="0">
      <alignment vertical="center"/>
    </xf>
    <xf numFmtId="0" fontId="55" fillId="117" borderId="0" applyNumberFormat="0" applyBorder="0" applyAlignment="0" applyProtection="0">
      <alignment vertical="center"/>
    </xf>
    <xf numFmtId="0" fontId="56" fillId="118" borderId="0" applyNumberFormat="0" applyBorder="0" applyAlignment="0" applyProtection="0">
      <alignment vertical="center"/>
    </xf>
    <xf numFmtId="0" fontId="56" fillId="119" borderId="0" applyNumberFormat="0" applyBorder="0" applyAlignment="0" applyProtection="0">
      <alignment vertical="center"/>
    </xf>
    <xf numFmtId="0" fontId="55" fillId="120" borderId="0" applyNumberFormat="0" applyBorder="0" applyAlignment="0" applyProtection="0">
      <alignment vertical="center"/>
    </xf>
    <xf numFmtId="0" fontId="55" fillId="121" borderId="0" applyNumberFormat="0" applyBorder="0" applyAlignment="0" applyProtection="0">
      <alignment vertical="center"/>
    </xf>
    <xf numFmtId="0" fontId="56" fillId="122" borderId="0" applyNumberFormat="0" applyBorder="0" applyAlignment="0" applyProtection="0">
      <alignment vertical="center"/>
    </xf>
    <xf numFmtId="0" fontId="56" fillId="123" borderId="0" applyNumberFormat="0" applyBorder="0" applyAlignment="0" applyProtection="0">
      <alignment vertical="center"/>
    </xf>
    <xf numFmtId="0" fontId="55" fillId="124" borderId="0" applyNumberFormat="0" applyBorder="0" applyAlignment="0" applyProtection="0">
      <alignment vertical="center"/>
    </xf>
  </cellStyleXfs>
  <cellXfs count="36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3" borderId="0" xfId="0" applyFill="1">
      <alignment vertical="center"/>
    </xf>
    <xf numFmtId="0" fontId="0" fillId="4" borderId="0" xfId="0" applyFill="1">
      <alignment vertical="center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0" xfId="0" applyFill="1">
      <alignment vertical="center"/>
    </xf>
    <xf numFmtId="0" fontId="3" fillId="0" borderId="0" xfId="0" applyFont="1" applyFill="1" applyAlignment="1">
      <alignment horizontal="center" vertical="center" wrapText="1"/>
    </xf>
    <xf numFmtId="0" fontId="0" fillId="6" borderId="1" xfId="0" applyFill="1" applyBorder="1" applyAlignment="1">
      <alignment horizontal="center" vertical="center"/>
    </xf>
    <xf numFmtId="0" fontId="0" fillId="0" borderId="9" xfId="0" applyBorder="1">
      <alignment vertical="center"/>
    </xf>
    <xf numFmtId="0" fontId="0" fillId="2" borderId="10" xfId="0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0" borderId="10" xfId="0" applyBorder="1">
      <alignment vertical="center"/>
    </xf>
    <xf numFmtId="0" fontId="4" fillId="0" borderId="0" xfId="0" applyFont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5" borderId="11" xfId="0" applyFill="1" applyBorder="1" applyAlignment="1">
      <alignment horizontal="center" vertical="center" wrapText="1"/>
    </xf>
    <xf numFmtId="0" fontId="0" fillId="3" borderId="10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6" fillId="0" borderId="0" xfId="0" applyFont="1" applyFill="1" applyAlignment="1">
      <alignment horizontal="center" vertical="center" wrapText="1"/>
    </xf>
    <xf numFmtId="0" fontId="0" fillId="3" borderId="3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6" borderId="10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0" fillId="0" borderId="10" xfId="0" applyFill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8" fillId="0" borderId="0" xfId="0" applyFont="1">
      <alignment vertical="center"/>
    </xf>
    <xf numFmtId="0" fontId="0" fillId="0" borderId="0" xfId="0" applyFill="1" applyAlignment="1">
      <alignment horizontal="center" vertical="center" wrapText="1"/>
    </xf>
    <xf numFmtId="0" fontId="0" fillId="9" borderId="10" xfId="0" applyFill="1" applyBorder="1" applyAlignment="1">
      <alignment horizontal="center" vertical="center"/>
    </xf>
    <xf numFmtId="0" fontId="0" fillId="10" borderId="10" xfId="0" applyFill="1" applyBorder="1" applyAlignment="1">
      <alignment horizontal="center" vertical="center"/>
    </xf>
    <xf numFmtId="0" fontId="0" fillId="9" borderId="10" xfId="0" applyFill="1" applyBorder="1" applyAlignment="1">
      <alignment horizontal="center" vertical="center" wrapText="1"/>
    </xf>
    <xf numFmtId="0" fontId="0" fillId="10" borderId="10" xfId="0" applyFill="1" applyBorder="1" applyAlignment="1">
      <alignment horizontal="center" vertical="center" wrapText="1"/>
    </xf>
    <xf numFmtId="0" fontId="0" fillId="11" borderId="10" xfId="0" applyFill="1" applyBorder="1" applyAlignment="1">
      <alignment horizontal="center" vertical="center"/>
    </xf>
    <xf numFmtId="0" fontId="0" fillId="12" borderId="10" xfId="0" applyFill="1" applyBorder="1" applyAlignment="1">
      <alignment horizontal="center" vertical="center"/>
    </xf>
    <xf numFmtId="0" fontId="0" fillId="13" borderId="10" xfId="0" applyFill="1" applyBorder="1" applyAlignment="1">
      <alignment horizontal="center" vertical="center"/>
    </xf>
    <xf numFmtId="0" fontId="0" fillId="14" borderId="10" xfId="0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4" fillId="0" borderId="0" xfId="0" applyFont="1" applyFill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5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>
      <alignment vertical="center"/>
    </xf>
    <xf numFmtId="0" fontId="9" fillId="15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16" borderId="10" xfId="0" applyFill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0" fillId="9" borderId="18" xfId="0" applyFill="1" applyBorder="1" applyAlignment="1">
      <alignment horizontal="center" vertical="center"/>
    </xf>
    <xf numFmtId="0" fontId="0" fillId="11" borderId="18" xfId="0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0" xfId="0" applyFont="1" applyFill="1" applyBorder="1" applyAlignment="1">
      <alignment horizontal="center" vertical="center" wrapText="1"/>
    </xf>
    <xf numFmtId="0" fontId="0" fillId="0" borderId="10" xfId="0" applyFill="1" applyBorder="1">
      <alignment vertical="center"/>
    </xf>
    <xf numFmtId="0" fontId="8" fillId="0" borderId="10" xfId="0" applyFont="1" applyFill="1" applyBorder="1">
      <alignment vertical="center"/>
    </xf>
    <xf numFmtId="0" fontId="0" fillId="4" borderId="10" xfId="0" applyFill="1" applyBorder="1" applyAlignment="1">
      <alignment horizontal="center" vertical="center"/>
    </xf>
    <xf numFmtId="0" fontId="0" fillId="17" borderId="10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vertical="center"/>
    </xf>
    <xf numFmtId="0" fontId="0" fillId="0" borderId="19" xfId="0" applyBorder="1">
      <alignment vertical="center"/>
    </xf>
    <xf numFmtId="0" fontId="0" fillId="0" borderId="20" xfId="0" applyBorder="1">
      <alignment vertical="center"/>
    </xf>
    <xf numFmtId="0" fontId="9" fillId="15" borderId="0" xfId="0" applyFont="1" applyFill="1" applyAlignment="1">
      <alignment horizontal="center" vertical="center" wrapText="1"/>
    </xf>
    <xf numFmtId="0" fontId="0" fillId="10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 wrapText="1"/>
    </xf>
    <xf numFmtId="0" fontId="11" fillId="0" borderId="10" xfId="0" applyFont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12" fillId="0" borderId="10" xfId="0" applyFont="1" applyBorder="1" applyAlignment="1">
      <alignment horizontal="center" vertical="center"/>
    </xf>
    <xf numFmtId="0" fontId="12" fillId="6" borderId="10" xfId="0" applyFont="1" applyFill="1" applyBorder="1" applyAlignment="1">
      <alignment horizontal="center" vertical="center"/>
    </xf>
    <xf numFmtId="0" fontId="0" fillId="16" borderId="10" xfId="0" applyFill="1" applyBorder="1" applyAlignment="1">
      <alignment horizontal="center" vertical="center"/>
    </xf>
    <xf numFmtId="0" fontId="13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/>
    </xf>
    <xf numFmtId="0" fontId="0" fillId="16" borderId="4" xfId="0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7" fillId="15" borderId="0" xfId="0" applyFont="1" applyFill="1" applyAlignment="1">
      <alignment horizontal="center" vertical="center" wrapText="1"/>
    </xf>
    <xf numFmtId="0" fontId="7" fillId="15" borderId="10" xfId="0" applyFont="1" applyFill="1" applyBorder="1" applyAlignment="1">
      <alignment horizontal="center" vertical="center" wrapText="1"/>
    </xf>
    <xf numFmtId="0" fontId="15" fillId="21" borderId="0" xfId="0" applyFont="1" applyFill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17" borderId="10" xfId="0" applyFont="1" applyFill="1" applyBorder="1" applyAlignment="1">
      <alignment horizontal="center" vertical="center"/>
    </xf>
    <xf numFmtId="0" fontId="15" fillId="22" borderId="10" xfId="0" applyFont="1" applyFill="1" applyBorder="1" applyAlignment="1">
      <alignment horizontal="center" vertical="center"/>
    </xf>
    <xf numFmtId="0" fontId="15" fillId="23" borderId="0" xfId="0" applyFont="1" applyFill="1" applyAlignment="1">
      <alignment horizontal="center" vertical="center"/>
    </xf>
    <xf numFmtId="0" fontId="15" fillId="0" borderId="10" xfId="0" applyFont="1" applyFill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5" fillId="0" borderId="10" xfId="0" applyFont="1" applyBorder="1">
      <alignment vertical="center"/>
    </xf>
    <xf numFmtId="0" fontId="1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 wrapText="1"/>
    </xf>
    <xf numFmtId="0" fontId="15" fillId="24" borderId="10" xfId="0" applyFont="1" applyFill="1" applyBorder="1" applyAlignment="1">
      <alignment horizontal="center" vertical="center"/>
    </xf>
    <xf numFmtId="0" fontId="15" fillId="21" borderId="10" xfId="0" applyFont="1" applyFill="1" applyBorder="1" applyAlignment="1">
      <alignment horizontal="center" vertical="center"/>
    </xf>
    <xf numFmtId="0" fontId="15" fillId="13" borderId="10" xfId="0" applyFont="1" applyFill="1" applyBorder="1" applyAlignment="1">
      <alignment horizontal="center" vertical="center"/>
    </xf>
    <xf numFmtId="0" fontId="0" fillId="21" borderId="0" xfId="0" applyFill="1">
      <alignment vertical="center"/>
    </xf>
    <xf numFmtId="0" fontId="0" fillId="3" borderId="10" xfId="0" applyFill="1" applyBorder="1" applyAlignment="1">
      <alignment horizontal="center" vertical="center" wrapText="1"/>
    </xf>
    <xf numFmtId="0" fontId="0" fillId="7" borderId="10" xfId="0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 textRotation="255"/>
    </xf>
    <xf numFmtId="0" fontId="0" fillId="20" borderId="10" xfId="0" applyFill="1" applyBorder="1" applyAlignment="1">
      <alignment horizontal="center" vertical="center" wrapText="1"/>
    </xf>
    <xf numFmtId="0" fontId="0" fillId="17" borderId="10" xfId="0" applyFill="1" applyBorder="1" applyAlignment="1">
      <alignment horizontal="center" vertical="center" wrapText="1"/>
    </xf>
    <xf numFmtId="0" fontId="0" fillId="19" borderId="10" xfId="0" applyFill="1" applyBorder="1" applyAlignment="1">
      <alignment horizontal="center" vertical="center" wrapText="1"/>
    </xf>
    <xf numFmtId="0" fontId="0" fillId="25" borderId="10" xfId="0" applyFill="1" applyBorder="1" applyAlignment="1">
      <alignment horizontal="center" vertical="center"/>
    </xf>
    <xf numFmtId="0" fontId="7" fillId="26" borderId="10" xfId="0" applyFont="1" applyFill="1" applyBorder="1" applyAlignment="1">
      <alignment horizontal="center" vertical="center" wrapText="1"/>
    </xf>
    <xf numFmtId="0" fontId="0" fillId="25" borderId="10" xfId="0" applyFill="1" applyBorder="1" applyAlignment="1">
      <alignment horizontal="center" vertical="center" wrapText="1"/>
    </xf>
    <xf numFmtId="0" fontId="0" fillId="27" borderId="10" xfId="0" applyFill="1" applyBorder="1" applyAlignment="1">
      <alignment horizontal="center" vertical="center" wrapText="1"/>
    </xf>
    <xf numFmtId="0" fontId="0" fillId="27" borderId="10" xfId="0" applyFill="1" applyBorder="1" applyAlignment="1">
      <alignment horizontal="center" vertical="center"/>
    </xf>
    <xf numFmtId="0" fontId="0" fillId="18" borderId="10" xfId="0" applyFill="1" applyBorder="1" applyAlignment="1">
      <alignment horizontal="center" vertical="center" wrapText="1"/>
    </xf>
    <xf numFmtId="0" fontId="0" fillId="28" borderId="10" xfId="0" applyFill="1" applyBorder="1" applyAlignment="1">
      <alignment horizontal="center" vertical="center" wrapText="1"/>
    </xf>
    <xf numFmtId="0" fontId="18" fillId="29" borderId="10" xfId="0" applyFont="1" applyFill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Fill="1" applyBorder="1">
      <alignment vertical="center"/>
    </xf>
    <xf numFmtId="0" fontId="15" fillId="30" borderId="10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 wrapText="1"/>
    </xf>
    <xf numFmtId="0" fontId="0" fillId="0" borderId="18" xfId="0" applyBorder="1">
      <alignment vertical="center"/>
    </xf>
    <xf numFmtId="0" fontId="0" fillId="5" borderId="4" xfId="0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center" vertical="center"/>
    </xf>
    <xf numFmtId="0" fontId="15" fillId="27" borderId="10" xfId="0" applyFont="1" applyFill="1" applyBorder="1" applyAlignment="1">
      <alignment horizontal="center" vertical="center"/>
    </xf>
    <xf numFmtId="0" fontId="16" fillId="27" borderId="10" xfId="0" applyFont="1" applyFill="1" applyBorder="1" applyAlignment="1">
      <alignment horizontal="center" vertical="center" wrapText="1"/>
    </xf>
    <xf numFmtId="0" fontId="15" fillId="27" borderId="10" xfId="0" applyFont="1" applyFill="1" applyBorder="1">
      <alignment vertical="center"/>
    </xf>
    <xf numFmtId="0" fontId="16" fillId="0" borderId="10" xfId="0" applyFont="1" applyFill="1" applyBorder="1" applyAlignment="1">
      <alignment horizontal="center" vertical="center" wrapText="1"/>
    </xf>
    <xf numFmtId="0" fontId="15" fillId="0" borderId="10" xfId="0" applyFont="1" applyFill="1" applyBorder="1">
      <alignment vertical="center"/>
    </xf>
    <xf numFmtId="0" fontId="15" fillId="31" borderId="10" xfId="0" applyFont="1" applyFill="1" applyBorder="1" applyAlignment="1">
      <alignment horizontal="center" vertical="center"/>
    </xf>
    <xf numFmtId="0" fontId="0" fillId="24" borderId="10" xfId="0" applyFill="1" applyBorder="1" applyAlignment="1">
      <alignment horizontal="center" vertical="center" wrapText="1"/>
    </xf>
    <xf numFmtId="0" fontId="0" fillId="32" borderId="10" xfId="0" applyFill="1" applyBorder="1" applyAlignment="1">
      <alignment horizontal="center" vertical="center" wrapText="1"/>
    </xf>
    <xf numFmtId="0" fontId="16" fillId="24" borderId="10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 vertical="center"/>
    </xf>
    <xf numFmtId="0" fontId="15" fillId="6" borderId="10" xfId="0" applyFont="1" applyFill="1" applyBorder="1" applyAlignment="1">
      <alignment horizontal="center" vertical="center"/>
    </xf>
    <xf numFmtId="0" fontId="0" fillId="0" borderId="0" xfId="0" applyFill="1" applyAlignment="1"/>
    <xf numFmtId="0" fontId="9" fillId="15" borderId="18" xfId="0" applyFont="1" applyFill="1" applyBorder="1" applyAlignment="1">
      <alignment horizontal="center" vertical="center" wrapText="1"/>
    </xf>
    <xf numFmtId="0" fontId="15" fillId="0" borderId="18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9" fillId="0" borderId="0" xfId="0" applyFont="1">
      <alignment vertical="center"/>
    </xf>
    <xf numFmtId="0" fontId="20" fillId="0" borderId="10" xfId="0" applyFont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176" fontId="0" fillId="6" borderId="10" xfId="0" applyNumberFormat="1" applyFill="1" applyBorder="1" applyAlignment="1">
      <alignment horizontal="center" vertical="center"/>
    </xf>
    <xf numFmtId="176" fontId="0" fillId="6" borderId="17" xfId="0" applyNumberFormat="1" applyFill="1" applyBorder="1" applyAlignment="1">
      <alignment horizontal="center" vertical="center"/>
    </xf>
    <xf numFmtId="0" fontId="0" fillId="6" borderId="17" xfId="0" applyFill="1" applyBorder="1" applyAlignment="1">
      <alignment horizontal="center" vertical="center"/>
    </xf>
    <xf numFmtId="176" fontId="0" fillId="0" borderId="10" xfId="0" applyNumberFormat="1" applyBorder="1" applyAlignment="1">
      <alignment horizontal="center" vertical="center"/>
    </xf>
    <xf numFmtId="176" fontId="0" fillId="0" borderId="17" xfId="0" applyNumberFormat="1" applyBorder="1" applyAlignment="1">
      <alignment horizontal="center" vertical="center"/>
    </xf>
    <xf numFmtId="176" fontId="0" fillId="10" borderId="10" xfId="0" applyNumberFormat="1" applyFill="1" applyBorder="1" applyAlignment="1">
      <alignment horizontal="center" vertical="center"/>
    </xf>
    <xf numFmtId="0" fontId="0" fillId="0" borderId="17" xfId="0" applyBorder="1">
      <alignment vertical="center"/>
    </xf>
    <xf numFmtId="176" fontId="0" fillId="10" borderId="17" xfId="0" applyNumberFormat="1" applyFill="1" applyBorder="1" applyAlignment="1">
      <alignment horizontal="center" vertical="center"/>
    </xf>
    <xf numFmtId="0" fontId="0" fillId="10" borderId="17" xfId="0" applyFill="1" applyBorder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21" fillId="0" borderId="10" xfId="0" applyFont="1" applyBorder="1" applyAlignment="1">
      <alignment vertical="center" wrapText="1"/>
    </xf>
    <xf numFmtId="0" fontId="22" fillId="0" borderId="0" xfId="0" applyFont="1">
      <alignment vertical="center"/>
    </xf>
    <xf numFmtId="0" fontId="21" fillId="0" borderId="10" xfId="0" applyFont="1" applyBorder="1">
      <alignment vertical="center"/>
    </xf>
    <xf numFmtId="0" fontId="21" fillId="0" borderId="10" xfId="0" applyFont="1" applyBorder="1" applyAlignment="1">
      <alignment horizontal="left" vertical="center" wrapText="1"/>
    </xf>
    <xf numFmtId="0" fontId="21" fillId="0" borderId="10" xfId="0" applyFont="1" applyBorder="1" applyAlignment="1">
      <alignment horizontal="left" vertical="center"/>
    </xf>
    <xf numFmtId="0" fontId="0" fillId="0" borderId="0" xfId="0" applyFill="1">
      <alignment vertical="center"/>
    </xf>
    <xf numFmtId="0" fontId="23" fillId="0" borderId="0" xfId="0" applyFont="1">
      <alignment vertical="center"/>
    </xf>
    <xf numFmtId="0" fontId="23" fillId="2" borderId="0" xfId="0" applyFont="1" applyFill="1">
      <alignment vertical="center"/>
    </xf>
    <xf numFmtId="22" fontId="23" fillId="0" borderId="0" xfId="0" applyNumberFormat="1" applyFont="1" applyAlignment="1">
      <alignment horizontal="left" vertical="center"/>
    </xf>
    <xf numFmtId="0" fontId="23" fillId="0" borderId="0" xfId="0" applyFont="1" applyAlignment="1">
      <alignment horizontal="left" vertical="center"/>
    </xf>
    <xf numFmtId="177" fontId="23" fillId="0" borderId="0" xfId="0" applyNumberFormat="1" applyFont="1" applyAlignment="1">
      <alignment horizontal="left" vertical="center"/>
    </xf>
    <xf numFmtId="22" fontId="23" fillId="0" borderId="0" xfId="0" applyNumberFormat="1" applyFont="1" applyFill="1" applyAlignment="1">
      <alignment horizontal="left" vertical="center"/>
    </xf>
    <xf numFmtId="0" fontId="23" fillId="0" borderId="0" xfId="0" applyFont="1" applyFill="1" applyAlignment="1">
      <alignment horizontal="left" vertical="center"/>
    </xf>
    <xf numFmtId="22" fontId="23" fillId="24" borderId="0" xfId="0" applyNumberFormat="1" applyFont="1" applyFill="1" applyAlignment="1">
      <alignment horizontal="left" vertical="center"/>
    </xf>
    <xf numFmtId="0" fontId="23" fillId="24" borderId="0" xfId="0" applyFont="1" applyFill="1" applyAlignment="1">
      <alignment horizontal="left" vertical="center"/>
    </xf>
    <xf numFmtId="0" fontId="23" fillId="24" borderId="0" xfId="0" applyFont="1" applyFill="1">
      <alignment vertical="center"/>
    </xf>
    <xf numFmtId="0" fontId="23" fillId="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5" fillId="15" borderId="10" xfId="0" applyFont="1" applyFill="1" applyBorder="1" applyAlignment="1">
      <alignment horizontal="center" vertical="center" wrapText="1"/>
    </xf>
    <xf numFmtId="0" fontId="0" fillId="33" borderId="10" xfId="0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0" fontId="0" fillId="35" borderId="10" xfId="0" applyFill="1" applyBorder="1" applyAlignment="1">
      <alignment horizontal="center" vertical="center" wrapText="1"/>
    </xf>
    <xf numFmtId="0" fontId="0" fillId="36" borderId="10" xfId="0" applyFill="1" applyBorder="1" applyAlignment="1">
      <alignment horizontal="center" vertical="center" wrapText="1"/>
    </xf>
    <xf numFmtId="0" fontId="0" fillId="37" borderId="10" xfId="0" applyFill="1" applyBorder="1" applyAlignment="1">
      <alignment horizontal="center" vertical="center" wrapText="1"/>
    </xf>
    <xf numFmtId="0" fontId="0" fillId="38" borderId="10" xfId="0" applyFill="1" applyBorder="1" applyAlignment="1">
      <alignment horizontal="center" vertical="center" wrapText="1"/>
    </xf>
    <xf numFmtId="0" fontId="0" fillId="39" borderId="10" xfId="0" applyFill="1" applyBorder="1" applyAlignment="1">
      <alignment horizontal="center" vertical="center" wrapText="1"/>
    </xf>
    <xf numFmtId="0" fontId="0" fillId="40" borderId="10" xfId="0" applyFill="1" applyBorder="1" applyAlignment="1">
      <alignment horizontal="center" vertical="center" wrapText="1"/>
    </xf>
    <xf numFmtId="0" fontId="0" fillId="41" borderId="10" xfId="0" applyFill="1" applyBorder="1" applyAlignment="1">
      <alignment horizontal="center" vertical="center" wrapText="1"/>
    </xf>
    <xf numFmtId="0" fontId="0" fillId="42" borderId="10" xfId="0" applyFill="1" applyBorder="1" applyAlignment="1">
      <alignment horizontal="center" vertical="center" wrapText="1"/>
    </xf>
    <xf numFmtId="0" fontId="0" fillId="43" borderId="10" xfId="0" applyFill="1" applyBorder="1" applyAlignment="1">
      <alignment horizontal="center" vertical="center" wrapText="1"/>
    </xf>
    <xf numFmtId="0" fontId="0" fillId="44" borderId="10" xfId="0" applyFill="1" applyBorder="1" applyAlignment="1">
      <alignment horizontal="center" vertical="center" wrapText="1"/>
    </xf>
    <xf numFmtId="0" fontId="0" fillId="45" borderId="10" xfId="0" applyFill="1" applyBorder="1" applyAlignment="1">
      <alignment horizontal="center" vertical="center" wrapText="1"/>
    </xf>
    <xf numFmtId="0" fontId="0" fillId="46" borderId="10" xfId="0" applyFill="1" applyBorder="1" applyAlignment="1">
      <alignment horizontal="center" vertical="center" wrapText="1"/>
    </xf>
    <xf numFmtId="0" fontId="0" fillId="47" borderId="10" xfId="0" applyFill="1" applyBorder="1" applyAlignment="1">
      <alignment horizontal="center" vertical="center" wrapText="1"/>
    </xf>
    <xf numFmtId="0" fontId="0" fillId="48" borderId="10" xfId="0" applyFill="1" applyBorder="1" applyAlignment="1">
      <alignment horizontal="center" vertical="center" wrapText="1"/>
    </xf>
    <xf numFmtId="0" fontId="0" fillId="49" borderId="10" xfId="0" applyFill="1" applyBorder="1" applyAlignment="1">
      <alignment horizontal="center" vertical="center" wrapText="1"/>
    </xf>
    <xf numFmtId="0" fontId="0" fillId="50" borderId="10" xfId="0" applyFill="1" applyBorder="1" applyAlignment="1">
      <alignment horizontal="center" vertical="center" wrapText="1"/>
    </xf>
    <xf numFmtId="0" fontId="0" fillId="51" borderId="10" xfId="0" applyFill="1" applyBorder="1" applyAlignment="1">
      <alignment horizontal="center" vertical="center" wrapText="1"/>
    </xf>
    <xf numFmtId="0" fontId="0" fillId="52" borderId="10" xfId="0" applyFill="1" applyBorder="1" applyAlignment="1">
      <alignment horizontal="center" vertical="center" wrapText="1"/>
    </xf>
    <xf numFmtId="0" fontId="0" fillId="53" borderId="10" xfId="0" applyFill="1" applyBorder="1" applyAlignment="1">
      <alignment horizontal="center" vertical="center" wrapText="1"/>
    </xf>
    <xf numFmtId="0" fontId="0" fillId="54" borderId="10" xfId="0" applyFill="1" applyBorder="1" applyAlignment="1">
      <alignment horizontal="center" vertical="center" wrapText="1"/>
    </xf>
    <xf numFmtId="0" fontId="0" fillId="55" borderId="10" xfId="0" applyFill="1" applyBorder="1" applyAlignment="1">
      <alignment horizontal="center" vertical="center" wrapText="1"/>
    </xf>
    <xf numFmtId="0" fontId="0" fillId="56" borderId="10" xfId="0" applyFill="1" applyBorder="1" applyAlignment="1">
      <alignment horizontal="center" vertical="center" wrapText="1"/>
    </xf>
    <xf numFmtId="0" fontId="0" fillId="57" borderId="10" xfId="0" applyFill="1" applyBorder="1" applyAlignment="1">
      <alignment horizontal="center" vertical="center" wrapText="1"/>
    </xf>
    <xf numFmtId="0" fontId="0" fillId="22" borderId="10" xfId="0" applyFill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/>
    </xf>
    <xf numFmtId="0" fontId="0" fillId="58" borderId="10" xfId="0" applyFill="1" applyBorder="1" applyAlignment="1">
      <alignment horizontal="center" vertical="center" wrapText="1"/>
    </xf>
    <xf numFmtId="0" fontId="0" fillId="59" borderId="10" xfId="0" applyFill="1" applyBorder="1" applyAlignment="1">
      <alignment horizontal="center" vertical="center" wrapText="1"/>
    </xf>
    <xf numFmtId="0" fontId="0" fillId="60" borderId="10" xfId="0" applyFill="1" applyBorder="1" applyAlignment="1">
      <alignment horizontal="center" vertical="center" wrapText="1"/>
    </xf>
    <xf numFmtId="0" fontId="0" fillId="61" borderId="10" xfId="0" applyFill="1" applyBorder="1" applyAlignment="1">
      <alignment horizontal="center" vertical="center" wrapText="1"/>
    </xf>
    <xf numFmtId="0" fontId="0" fillId="62" borderId="10" xfId="0" applyFill="1" applyBorder="1" applyAlignment="1">
      <alignment horizontal="center" vertical="center" wrapText="1"/>
    </xf>
    <xf numFmtId="0" fontId="0" fillId="63" borderId="10" xfId="0" applyFill="1" applyBorder="1" applyAlignment="1">
      <alignment horizontal="center" vertical="center" wrapText="1"/>
    </xf>
    <xf numFmtId="0" fontId="0" fillId="64" borderId="10" xfId="0" applyFill="1" applyBorder="1" applyAlignment="1">
      <alignment horizontal="center" vertical="center" wrapText="1"/>
    </xf>
    <xf numFmtId="0" fontId="0" fillId="65" borderId="10" xfId="0" applyFill="1" applyBorder="1" applyAlignment="1">
      <alignment horizontal="center" vertical="center" wrapText="1"/>
    </xf>
    <xf numFmtId="0" fontId="0" fillId="66" borderId="10" xfId="0" applyFill="1" applyBorder="1" applyAlignment="1">
      <alignment horizontal="center" vertical="center" wrapText="1"/>
    </xf>
    <xf numFmtId="0" fontId="0" fillId="67" borderId="10" xfId="0" applyFill="1" applyBorder="1" applyAlignment="1">
      <alignment horizontal="center" vertical="center" wrapText="1"/>
    </xf>
    <xf numFmtId="0" fontId="0" fillId="68" borderId="10" xfId="0" applyFill="1" applyBorder="1" applyAlignment="1">
      <alignment horizontal="center" vertical="center" wrapText="1"/>
    </xf>
    <xf numFmtId="0" fontId="0" fillId="69" borderId="10" xfId="0" applyFill="1" applyBorder="1" applyAlignment="1">
      <alignment horizontal="center" vertical="center" wrapText="1"/>
    </xf>
    <xf numFmtId="0" fontId="0" fillId="70" borderId="10" xfId="0" applyFill="1" applyBorder="1" applyAlignment="1">
      <alignment horizontal="center" vertical="center" wrapText="1"/>
    </xf>
    <xf numFmtId="0" fontId="0" fillId="71" borderId="10" xfId="0" applyFill="1" applyBorder="1" applyAlignment="1">
      <alignment horizontal="center" vertical="center" wrapText="1"/>
    </xf>
    <xf numFmtId="0" fontId="0" fillId="72" borderId="10" xfId="0" applyFill="1" applyBorder="1" applyAlignment="1">
      <alignment horizontal="center" vertical="center" wrapText="1"/>
    </xf>
    <xf numFmtId="0" fontId="0" fillId="73" borderId="10" xfId="0" applyFill="1" applyBorder="1" applyAlignment="1">
      <alignment horizontal="center" vertical="center" wrapText="1"/>
    </xf>
    <xf numFmtId="0" fontId="0" fillId="74" borderId="10" xfId="0" applyFill="1" applyBorder="1" applyAlignment="1">
      <alignment horizontal="center" vertical="center" wrapText="1"/>
    </xf>
    <xf numFmtId="0" fontId="0" fillId="75" borderId="10" xfId="0" applyFill="1" applyBorder="1" applyAlignment="1">
      <alignment horizontal="center" vertical="center" wrapText="1"/>
    </xf>
    <xf numFmtId="0" fontId="0" fillId="76" borderId="10" xfId="0" applyFill="1" applyBorder="1" applyAlignment="1">
      <alignment horizontal="center" vertical="center" wrapText="1"/>
    </xf>
    <xf numFmtId="0" fontId="0" fillId="77" borderId="10" xfId="0" applyFill="1" applyBorder="1" applyAlignment="1">
      <alignment horizontal="center" vertical="center" wrapText="1"/>
    </xf>
    <xf numFmtId="0" fontId="0" fillId="78" borderId="10" xfId="0" applyFill="1" applyBorder="1" applyAlignment="1">
      <alignment horizontal="center" vertical="center" wrapText="1"/>
    </xf>
    <xf numFmtId="0" fontId="0" fillId="79" borderId="10" xfId="0" applyFill="1" applyBorder="1" applyAlignment="1">
      <alignment horizontal="center" vertical="center" wrapText="1"/>
    </xf>
    <xf numFmtId="0" fontId="0" fillId="80" borderId="10" xfId="0" applyFill="1" applyBorder="1" applyAlignment="1">
      <alignment horizontal="center" vertical="center" wrapText="1"/>
    </xf>
    <xf numFmtId="0" fontId="0" fillId="81" borderId="10" xfId="0" applyFill="1" applyBorder="1" applyAlignment="1">
      <alignment horizontal="center" vertical="center" wrapText="1"/>
    </xf>
    <xf numFmtId="0" fontId="0" fillId="82" borderId="10" xfId="0" applyFill="1" applyBorder="1" applyAlignment="1">
      <alignment horizontal="center" vertical="center" wrapText="1"/>
    </xf>
    <xf numFmtId="0" fontId="0" fillId="83" borderId="10" xfId="0" applyFill="1" applyBorder="1" applyAlignment="1">
      <alignment horizontal="center" vertical="center" wrapText="1"/>
    </xf>
    <xf numFmtId="0" fontId="0" fillId="84" borderId="10" xfId="0" applyFill="1" applyBorder="1" applyAlignment="1">
      <alignment horizontal="center" vertical="center" wrapText="1"/>
    </xf>
    <xf numFmtId="0" fontId="0" fillId="85" borderId="10" xfId="0" applyFill="1" applyBorder="1" applyAlignment="1">
      <alignment horizontal="center" vertical="center" wrapText="1"/>
    </xf>
    <xf numFmtId="0" fontId="0" fillId="86" borderId="10" xfId="0" applyFill="1" applyBorder="1" applyAlignment="1">
      <alignment horizontal="center" vertical="center" wrapText="1"/>
    </xf>
    <xf numFmtId="0" fontId="0" fillId="87" borderId="10" xfId="0" applyFill="1" applyBorder="1" applyAlignment="1">
      <alignment horizontal="center" vertical="center" wrapText="1"/>
    </xf>
    <xf numFmtId="0" fontId="0" fillId="0" borderId="0" xfId="0" applyFill="1">
      <alignment vertical="center"/>
    </xf>
    <xf numFmtId="0" fontId="26" fillId="0" borderId="0" xfId="0" applyFont="1" applyAlignment="1">
      <alignment horizontal="center" vertical="center"/>
    </xf>
    <xf numFmtId="0" fontId="26" fillId="2" borderId="10" xfId="0" applyFont="1" applyFill="1" applyBorder="1" applyAlignment="1">
      <alignment horizontal="center" vertical="center"/>
    </xf>
    <xf numFmtId="0" fontId="26" fillId="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19" fillId="6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/>
    </xf>
    <xf numFmtId="0" fontId="19" fillId="0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6" fillId="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 wrapText="1"/>
    </xf>
    <xf numFmtId="0" fontId="28" fillId="0" borderId="0" xfId="0" applyFont="1" applyAlignment="1">
      <alignment vertical="center" wrapText="1"/>
    </xf>
    <xf numFmtId="0" fontId="29" fillId="0" borderId="0" xfId="0" applyAlignment="1">
      <alignment horizontal="center" vertical="center" wrapText="1"/>
    </xf>
    <xf numFmtId="0" fontId="29" fillId="0" borderId="0" xfId="0" applyAlignment="1">
      <alignment vertical="center" wrapText="1"/>
    </xf>
    <xf numFmtId="0" fontId="30" fillId="0" borderId="0" xfId="0" applyAlignment="1">
      <alignment vertical="center" wrapText="1"/>
    </xf>
    <xf numFmtId="0" fontId="31" fillId="0" borderId="0" xfId="0" applyFont="1" applyAlignment="1">
      <alignment vertical="center" wrapText="1"/>
    </xf>
    <xf numFmtId="0" fontId="32" fillId="88" borderId="10" xfId="0" applyFont="1" applyFill="1" applyBorder="1" applyAlignment="1">
      <alignment vertical="center" wrapText="1"/>
    </xf>
    <xf numFmtId="0" fontId="0" fillId="89" borderId="17" xfId="0" applyFill="1" applyBorder="1" applyAlignment="1">
      <alignment horizontal="center" vertical="center" wrapText="1"/>
    </xf>
    <xf numFmtId="0" fontId="0" fillId="89" borderId="10" xfId="0" applyFill="1" applyBorder="1" applyAlignment="1">
      <alignment horizontal="center" vertical="center" wrapText="1"/>
    </xf>
    <xf numFmtId="0" fontId="0" fillId="22" borderId="6" xfId="0" applyFill="1" applyBorder="1" applyAlignment="1">
      <alignment vertical="center" wrapText="1"/>
    </xf>
    <xf numFmtId="0" fontId="0" fillId="0" borderId="15" xfId="0" applyBorder="1" applyAlignment="1">
      <alignment vertical="center" wrapText="1"/>
    </xf>
    <xf numFmtId="0" fontId="0" fillId="0" borderId="18" xfId="0" applyBorder="1" applyAlignment="1">
      <alignment horizontal="center" vertical="center" wrapText="1"/>
    </xf>
    <xf numFmtId="0" fontId="0" fillId="22" borderId="14" xfId="0" applyFill="1" applyBorder="1" applyAlignment="1">
      <alignment vertical="center" wrapText="1"/>
    </xf>
    <xf numFmtId="0" fontId="0" fillId="22" borderId="21" xfId="0" applyFill="1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31" fillId="0" borderId="14" xfId="0" applyFont="1" applyBorder="1" applyAlignment="1">
      <alignment vertical="center" wrapText="1"/>
    </xf>
    <xf numFmtId="0" fontId="0" fillId="0" borderId="14" xfId="0" applyBorder="1">
      <alignment vertical="center"/>
    </xf>
    <xf numFmtId="0" fontId="29" fillId="0" borderId="13" xfId="0" applyBorder="1" applyAlignment="1">
      <alignment horizontal="center" vertical="center" wrapText="1"/>
    </xf>
    <xf numFmtId="0" fontId="30" fillId="0" borderId="19" xfId="0" applyBorder="1" applyAlignment="1">
      <alignment vertical="center" wrapText="1"/>
    </xf>
    <xf numFmtId="0" fontId="29" fillId="0" borderId="19" xfId="0" applyBorder="1" applyAlignment="1">
      <alignment vertical="center" wrapText="1"/>
    </xf>
    <xf numFmtId="0" fontId="29" fillId="0" borderId="20" xfId="0" applyBorder="1" applyAlignment="1">
      <alignment vertical="center" wrapText="1"/>
    </xf>
    <xf numFmtId="0" fontId="29" fillId="0" borderId="15" xfId="0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33" fillId="3" borderId="10" xfId="0" applyFont="1" applyFill="1" applyBorder="1" applyAlignment="1">
      <alignment horizontal="center" vertical="center" wrapText="1"/>
    </xf>
    <xf numFmtId="0" fontId="26" fillId="2" borderId="20" xfId="0" applyFont="1" applyFill="1" applyBorder="1" applyAlignment="1">
      <alignment horizontal="center" vertical="center" wrapText="1"/>
    </xf>
    <xf numFmtId="0" fontId="26" fillId="10" borderId="10" xfId="0" applyFont="1" applyFill="1" applyBorder="1" applyAlignment="1">
      <alignment horizontal="center" vertical="center" wrapText="1"/>
    </xf>
    <xf numFmtId="0" fontId="26" fillId="2" borderId="10" xfId="0" applyFont="1" applyFill="1" applyBorder="1" applyAlignment="1">
      <alignment horizontal="center" vertical="center" wrapText="1"/>
    </xf>
    <xf numFmtId="0" fontId="19" fillId="10" borderId="10" xfId="0" applyFont="1" applyFill="1" applyBorder="1" applyAlignment="1">
      <alignment horizontal="center" vertical="center" wrapText="1"/>
    </xf>
    <xf numFmtId="0" fontId="26" fillId="18" borderId="10" xfId="0" applyFont="1" applyFill="1" applyBorder="1" applyAlignment="1">
      <alignment horizontal="center" vertical="center" wrapText="1"/>
    </xf>
    <xf numFmtId="0" fontId="26" fillId="17" borderId="10" xfId="0" applyFont="1" applyFill="1" applyBorder="1" applyAlignment="1">
      <alignment horizontal="center" vertical="center" wrapText="1"/>
    </xf>
    <xf numFmtId="0" fontId="26" fillId="5" borderId="10" xfId="0" applyFont="1" applyFill="1" applyBorder="1" applyAlignment="1">
      <alignment horizontal="center" vertical="center" wrapText="1"/>
    </xf>
    <xf numFmtId="0" fontId="26" fillId="24" borderId="10" xfId="0" applyFont="1" applyFill="1" applyBorder="1" applyAlignment="1">
      <alignment horizontal="center" vertical="center" wrapText="1"/>
    </xf>
    <xf numFmtId="0" fontId="19" fillId="18" borderId="10" xfId="0" applyFont="1" applyFill="1" applyBorder="1" applyAlignment="1">
      <alignment horizontal="center" vertical="center" wrapText="1"/>
    </xf>
    <xf numFmtId="0" fontId="19" fillId="17" borderId="10" xfId="0" applyFont="1" applyFill="1" applyBorder="1" applyAlignment="1">
      <alignment horizontal="center" vertical="center" wrapText="1"/>
    </xf>
    <xf numFmtId="0" fontId="34" fillId="20" borderId="10" xfId="0" applyFont="1" applyFill="1" applyBorder="1" applyAlignment="1">
      <alignment horizontal="center" vertical="center"/>
    </xf>
    <xf numFmtId="0" fontId="19" fillId="20" borderId="10" xfId="0" applyFont="1" applyFill="1" applyBorder="1" applyAlignment="1">
      <alignment horizontal="center" vertical="center"/>
    </xf>
    <xf numFmtId="0" fontId="19" fillId="4" borderId="10" xfId="0" applyFont="1" applyFill="1" applyBorder="1" applyAlignment="1">
      <alignment horizontal="center" vertical="center"/>
    </xf>
    <xf numFmtId="0" fontId="35" fillId="4" borderId="10" xfId="0" applyFont="1" applyFill="1" applyBorder="1" applyAlignment="1">
      <alignment horizontal="center" vertical="center"/>
    </xf>
    <xf numFmtId="0" fontId="34" fillId="6" borderId="10" xfId="0" applyFont="1" applyFill="1" applyBorder="1" applyAlignment="1">
      <alignment horizontal="center" vertical="center"/>
    </xf>
    <xf numFmtId="0" fontId="19" fillId="10" borderId="10" xfId="0" applyFont="1" applyFill="1" applyBorder="1" applyAlignment="1">
      <alignment horizontal="center" vertical="center"/>
    </xf>
    <xf numFmtId="0" fontId="34" fillId="10" borderId="10" xfId="0" applyFont="1" applyFill="1" applyBorder="1" applyAlignment="1">
      <alignment horizontal="center" vertical="center"/>
    </xf>
    <xf numFmtId="0" fontId="35" fillId="10" borderId="10" xfId="0" applyFont="1" applyFill="1" applyBorder="1" applyAlignment="1">
      <alignment horizontal="center" vertical="center"/>
    </xf>
    <xf numFmtId="0" fontId="34" fillId="7" borderId="10" xfId="0" applyFont="1" applyFill="1" applyBorder="1" applyAlignment="1">
      <alignment horizontal="center" vertical="center"/>
    </xf>
    <xf numFmtId="0" fontId="19" fillId="7" borderId="10" xfId="0" applyFont="1" applyFill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/>
    </xf>
    <xf numFmtId="0" fontId="35" fillId="11" borderId="10" xfId="0" applyFont="1" applyFill="1" applyBorder="1" applyAlignment="1">
      <alignment horizontal="center" vertical="center"/>
    </xf>
    <xf numFmtId="0" fontId="34" fillId="27" borderId="10" xfId="0" applyFont="1" applyFill="1" applyBorder="1" applyAlignment="1">
      <alignment horizontal="center" vertical="center"/>
    </xf>
    <xf numFmtId="0" fontId="19" fillId="27" borderId="10" xfId="0" applyFont="1" applyFill="1" applyBorder="1" applyAlignment="1">
      <alignment horizontal="center" vertical="center"/>
    </xf>
    <xf numFmtId="0" fontId="19" fillId="17" borderId="10" xfId="0" applyFont="1" applyFill="1" applyBorder="1" applyAlignment="1">
      <alignment horizontal="center" vertical="center"/>
    </xf>
    <xf numFmtId="0" fontId="35" fillId="17" borderId="10" xfId="0" applyFont="1" applyFill="1" applyBorder="1" applyAlignment="1">
      <alignment horizontal="center" vertical="center"/>
    </xf>
    <xf numFmtId="0" fontId="34" fillId="5" borderId="10" xfId="0" applyFont="1" applyFill="1" applyBorder="1" applyAlignment="1">
      <alignment horizontal="center" vertical="center"/>
    </xf>
    <xf numFmtId="0" fontId="19" fillId="5" borderId="10" xfId="0" applyFont="1" applyFill="1" applyBorder="1" applyAlignment="1">
      <alignment horizontal="center" vertical="center"/>
    </xf>
    <xf numFmtId="0" fontId="35" fillId="5" borderId="10" xfId="0" applyFont="1" applyFill="1" applyBorder="1" applyAlignment="1">
      <alignment horizontal="center" vertical="center"/>
    </xf>
    <xf numFmtId="0" fontId="34" fillId="16" borderId="10" xfId="0" applyFont="1" applyFill="1" applyBorder="1" applyAlignment="1">
      <alignment horizontal="center" vertical="center"/>
    </xf>
    <xf numFmtId="0" fontId="19" fillId="16" borderId="10" xfId="0" applyFont="1" applyFill="1" applyBorder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 wrapText="1"/>
    </xf>
    <xf numFmtId="0" fontId="19" fillId="9" borderId="10" xfId="0" applyFont="1" applyFill="1" applyBorder="1" applyAlignment="1">
      <alignment horizontal="center" vertical="center"/>
    </xf>
    <xf numFmtId="0" fontId="35" fillId="9" borderId="10" xfId="0" applyFont="1" applyFill="1" applyBorder="1" applyAlignment="1">
      <alignment horizontal="center" vertical="center" wrapText="1"/>
    </xf>
    <xf numFmtId="0" fontId="34" fillId="3" borderId="10" xfId="0" applyFont="1" applyFill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35" fillId="18" borderId="10" xfId="0" applyFont="1" applyFill="1" applyBorder="1" applyAlignment="1">
      <alignment horizontal="center" vertical="center"/>
    </xf>
    <xf numFmtId="0" fontId="34" fillId="25" borderId="10" xfId="0" applyFont="1" applyFill="1" applyBorder="1" applyAlignment="1">
      <alignment horizontal="center" vertical="center"/>
    </xf>
    <xf numFmtId="0" fontId="19" fillId="25" borderId="10" xfId="0" applyFont="1" applyFill="1" applyBorder="1" applyAlignment="1">
      <alignment horizontal="center" vertical="center" wrapText="1"/>
    </xf>
    <xf numFmtId="0" fontId="19" fillId="5" borderId="10" xfId="0" applyFont="1" applyFill="1" applyBorder="1" applyAlignment="1">
      <alignment horizontal="center" vertical="center" wrapText="1"/>
    </xf>
    <xf numFmtId="0" fontId="35" fillId="5" borderId="10" xfId="0" applyFont="1" applyFill="1" applyBorder="1" applyAlignment="1">
      <alignment horizontal="center" vertical="center" wrapText="1"/>
    </xf>
    <xf numFmtId="0" fontId="34" fillId="90" borderId="10" xfId="0" applyFont="1" applyFill="1" applyBorder="1" applyAlignment="1">
      <alignment horizontal="center" vertical="center"/>
    </xf>
    <xf numFmtId="0" fontId="19" fillId="90" borderId="10" xfId="0" applyFont="1" applyFill="1" applyBorder="1" applyAlignment="1">
      <alignment horizontal="center" vertical="center"/>
    </xf>
    <xf numFmtId="0" fontId="19" fillId="19" borderId="10" xfId="0" applyFont="1" applyFill="1" applyBorder="1" applyAlignment="1">
      <alignment horizontal="center" vertical="center"/>
    </xf>
    <xf numFmtId="0" fontId="35" fillId="19" borderId="10" xfId="0" applyFont="1" applyFill="1" applyBorder="1" applyAlignment="1">
      <alignment horizontal="center" vertical="center"/>
    </xf>
    <xf numFmtId="0" fontId="34" fillId="89" borderId="10" xfId="0" applyFont="1" applyFill="1" applyBorder="1" applyAlignment="1">
      <alignment horizontal="center" vertical="center"/>
    </xf>
    <xf numFmtId="0" fontId="19" fillId="89" borderId="10" xfId="0" applyFont="1" applyFill="1" applyBorder="1" applyAlignment="1">
      <alignment horizontal="center" vertical="center" wrapText="1"/>
    </xf>
    <xf numFmtId="0" fontId="19" fillId="89" borderId="10" xfId="0" applyFont="1" applyFill="1" applyBorder="1" applyAlignment="1">
      <alignment horizontal="center" vertical="center"/>
    </xf>
    <xf numFmtId="0" fontId="35" fillId="89" borderId="10" xfId="0" applyFont="1" applyFill="1" applyBorder="1" applyAlignment="1">
      <alignment horizontal="center" vertical="center" wrapText="1"/>
    </xf>
    <xf numFmtId="0" fontId="34" fillId="14" borderId="10" xfId="0" applyFont="1" applyFill="1" applyBorder="1" applyAlignment="1">
      <alignment horizontal="center" vertical="center"/>
    </xf>
    <xf numFmtId="0" fontId="19" fillId="14" borderId="10" xfId="0" applyFont="1" applyFill="1" applyBorder="1" applyAlignment="1">
      <alignment horizontal="center" vertical="center"/>
    </xf>
    <xf numFmtId="0" fontId="35" fillId="14" borderId="10" xfId="0" applyFont="1" applyFill="1" applyBorder="1" applyAlignment="1">
      <alignment horizontal="center" vertical="center"/>
    </xf>
    <xf numFmtId="0" fontId="19" fillId="16" borderId="10" xfId="0" applyFont="1" applyFill="1" applyBorder="1" applyAlignment="1">
      <alignment horizontal="center" vertical="center"/>
    </xf>
    <xf numFmtId="0" fontId="19" fillId="25" borderId="10" xfId="0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91" borderId="0" xfId="0" applyFill="1" applyAlignment="1">
      <alignment horizontal="center" vertical="center" wrapText="1"/>
    </xf>
    <xf numFmtId="0" fontId="36" fillId="0" borderId="0" xfId="0" applyFont="1" applyAlignment="1">
      <alignment vertical="center" wrapText="1"/>
    </xf>
    <xf numFmtId="0" fontId="0" fillId="92" borderId="0" xfId="0" applyFill="1" applyAlignment="1">
      <alignment horizontal="center" vertical="center" wrapText="1"/>
    </xf>
    <xf numFmtId="0" fontId="0" fillId="27" borderId="0" xfId="0" applyFill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93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2" Type="http://schemas.openxmlformats.org/officeDocument/2006/relationships/sharedStrings" Target="sharedStrings.xml"/><Relationship Id="rId31" Type="http://schemas.openxmlformats.org/officeDocument/2006/relationships/styles" Target="styles.xml"/><Relationship Id="rId30" Type="http://schemas.openxmlformats.org/officeDocument/2006/relationships/theme" Target="theme/theme1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3.png"/><Relationship Id="rId3" Type="http://schemas.openxmlformats.org/officeDocument/2006/relationships/image" Target="../media/image2.png"/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5" Type="http://schemas.openxmlformats.org/officeDocument/2006/relationships/image" Target="../media/image3.png"/><Relationship Id="rId4" Type="http://schemas.openxmlformats.org/officeDocument/2006/relationships/image" Target="../media/image2.png"/><Relationship Id="rId3" Type="http://schemas.openxmlformats.org/officeDocument/2006/relationships/image" Target="../media/image1.png"/><Relationship Id="rId2" Type="http://schemas.openxmlformats.org/officeDocument/2006/relationships/image" Target="NULL" TargetMode="External"/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421481</xdr:colOff>
      <xdr:row>50</xdr:row>
      <xdr:rowOff>16669</xdr:rowOff>
    </xdr:from>
    <xdr:ext cx="857250" cy="573985"/>
    <xdr:pic>
      <xdr:nvPicPr>
        <xdr:cNvPr id="8" name="图片 7"/>
        <xdr:cNvPicPr/>
      </xdr:nvPicPr>
      <xdr:blipFill>
        <a:blip r:embed="rId1" r:link="rId2"/>
        <a:stretch>
          <a:fillRect/>
        </a:stretch>
      </xdr:blipFill>
      <xdr:spPr>
        <a:xfrm>
          <a:off x="7303770" y="11446510"/>
          <a:ext cx="857250" cy="574040"/>
        </a:xfrm>
        <a:prstGeom prst="rect">
          <a:avLst/>
        </a:prstGeom>
      </xdr:spPr>
    </xdr:pic>
    <xdr:clientData/>
  </xdr:oneCellAnchor>
  <xdr:oneCellAnchor>
    <xdr:from>
      <xdr:col>8</xdr:col>
      <xdr:colOff>381000</xdr:colOff>
      <xdr:row>46</xdr:row>
      <xdr:rowOff>204788</xdr:rowOff>
    </xdr:from>
    <xdr:ext cx="857438" cy="534142"/>
    <xdr:pic>
      <xdr:nvPicPr>
        <xdr:cNvPr id="9" name="图片 8"/>
        <xdr:cNvPicPr/>
      </xdr:nvPicPr>
      <xdr:blipFill>
        <a:blip r:embed="rId3" r:link="rId2"/>
        <a:stretch>
          <a:fillRect/>
        </a:stretch>
      </xdr:blipFill>
      <xdr:spPr>
        <a:xfrm>
          <a:off x="7263765" y="10720070"/>
          <a:ext cx="857250" cy="534035"/>
        </a:xfrm>
        <a:prstGeom prst="rect">
          <a:avLst/>
        </a:prstGeom>
      </xdr:spPr>
    </xdr:pic>
    <xdr:clientData/>
  </xdr:oneCellAnchor>
  <xdr:oneCellAnchor>
    <xdr:from>
      <xdr:col>8</xdr:col>
      <xdr:colOff>445294</xdr:colOff>
      <xdr:row>52</xdr:row>
      <xdr:rowOff>180975</xdr:rowOff>
    </xdr:from>
    <xdr:ext cx="847725" cy="521677"/>
    <xdr:pic>
      <xdr:nvPicPr>
        <xdr:cNvPr id="10" name="图片 9"/>
        <xdr:cNvPicPr/>
      </xdr:nvPicPr>
      <xdr:blipFill>
        <a:blip r:embed="rId4" r:link="rId2"/>
        <a:stretch>
          <a:fillRect/>
        </a:stretch>
      </xdr:blipFill>
      <xdr:spPr>
        <a:xfrm>
          <a:off x="7327900" y="12068175"/>
          <a:ext cx="847725" cy="52133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7</xdr:col>
      <xdr:colOff>376403</xdr:colOff>
      <xdr:row>0</xdr:row>
      <xdr:rowOff>277283</xdr:rowOff>
    </xdr:from>
    <xdr:ext cx="5785932" cy="9006405"/>
    <xdr:pic>
      <xdr:nvPicPr>
        <xdr:cNvPr id="4" name="图片 3"/>
        <xdr:cNvPicPr/>
      </xdr:nvPicPr>
      <xdr:blipFill>
        <a:blip r:embed="rId1" r:link="rId2"/>
        <a:stretch>
          <a:fillRect/>
        </a:stretch>
      </xdr:blipFill>
      <xdr:spPr>
        <a:xfrm>
          <a:off x="6414135" y="228600"/>
          <a:ext cx="5786120" cy="9006205"/>
        </a:xfrm>
        <a:prstGeom prst="rect">
          <a:avLst/>
        </a:prstGeom>
      </xdr:spPr>
    </xdr:pic>
    <xdr:clientData/>
  </xdr:oneCellAnchor>
  <xdr:oneCellAnchor>
    <xdr:from>
      <xdr:col>15</xdr:col>
      <xdr:colOff>421481</xdr:colOff>
      <xdr:row>50</xdr:row>
      <xdr:rowOff>16669</xdr:rowOff>
    </xdr:from>
    <xdr:ext cx="857250" cy="573985"/>
    <xdr:pic>
      <xdr:nvPicPr>
        <xdr:cNvPr id="5" name="图片 4"/>
        <xdr:cNvPicPr/>
      </xdr:nvPicPr>
      <xdr:blipFill>
        <a:blip r:embed="rId3" r:link="rId2"/>
        <a:stretch>
          <a:fillRect/>
        </a:stretch>
      </xdr:blipFill>
      <xdr:spPr>
        <a:xfrm>
          <a:off x="14010005" y="11446510"/>
          <a:ext cx="857250" cy="574040"/>
        </a:xfrm>
        <a:prstGeom prst="rect">
          <a:avLst/>
        </a:prstGeom>
      </xdr:spPr>
    </xdr:pic>
    <xdr:clientData/>
  </xdr:oneCellAnchor>
  <xdr:oneCellAnchor>
    <xdr:from>
      <xdr:col>15</xdr:col>
      <xdr:colOff>381000</xdr:colOff>
      <xdr:row>46</xdr:row>
      <xdr:rowOff>204788</xdr:rowOff>
    </xdr:from>
    <xdr:ext cx="857438" cy="534142"/>
    <xdr:pic>
      <xdr:nvPicPr>
        <xdr:cNvPr id="6" name="图片 5"/>
        <xdr:cNvPicPr/>
      </xdr:nvPicPr>
      <xdr:blipFill>
        <a:blip r:embed="rId4" r:link="rId2"/>
        <a:stretch>
          <a:fillRect/>
        </a:stretch>
      </xdr:blipFill>
      <xdr:spPr>
        <a:xfrm>
          <a:off x="13970000" y="10720070"/>
          <a:ext cx="857250" cy="534035"/>
        </a:xfrm>
        <a:prstGeom prst="rect">
          <a:avLst/>
        </a:prstGeom>
      </xdr:spPr>
    </xdr:pic>
    <xdr:clientData/>
  </xdr:oneCellAnchor>
  <xdr:oneCellAnchor>
    <xdr:from>
      <xdr:col>15</xdr:col>
      <xdr:colOff>445294</xdr:colOff>
      <xdr:row>52</xdr:row>
      <xdr:rowOff>180975</xdr:rowOff>
    </xdr:from>
    <xdr:ext cx="847725" cy="521677"/>
    <xdr:pic>
      <xdr:nvPicPr>
        <xdr:cNvPr id="7" name="图片 6"/>
        <xdr:cNvPicPr/>
      </xdr:nvPicPr>
      <xdr:blipFill>
        <a:blip r:embed="rId5" r:link="rId2"/>
        <a:stretch>
          <a:fillRect/>
        </a:stretch>
      </xdr:blipFill>
      <xdr:spPr>
        <a:xfrm>
          <a:off x="14034135" y="12068175"/>
          <a:ext cx="847725" cy="521335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8</xdr:col>
      <xdr:colOff>133350</xdr:colOff>
      <xdr:row>30</xdr:row>
      <xdr:rowOff>19050</xdr:rowOff>
    </xdr:from>
    <xdr:ext cx="3810000" cy="1789545"/>
    <xdr:pic>
      <xdr:nvPicPr>
        <xdr:cNvPr id="3" name="图片 2"/>
        <xdr:cNvPicPr/>
      </xdr:nvPicPr>
      <xdr:blipFill>
        <a:blip r:embed="rId1" r:link="rId2"/>
        <a:stretch>
          <a:fillRect/>
        </a:stretch>
      </xdr:blipFill>
      <xdr:spPr>
        <a:xfrm>
          <a:off x="8086725" y="6877050"/>
          <a:ext cx="3810000" cy="178943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12</xdr:col>
      <xdr:colOff>57150</xdr:colOff>
      <xdr:row>24</xdr:row>
      <xdr:rowOff>295275</xdr:rowOff>
    </xdr:from>
    <xdr:ext cx="2486025" cy="2057400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15403195" y="5715000"/>
          <a:ext cx="2486025" cy="20574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6</xdr:col>
      <xdr:colOff>0</xdr:colOff>
      <xdr:row>8</xdr:row>
      <xdr:rowOff>0</xdr:rowOff>
    </xdr:from>
    <xdr:ext cx="2483304" cy="1420390"/>
    <xdr:pic>
      <xdr:nvPicPr>
        <xdr:cNvPr id="2" name="图片 1"/>
        <xdr:cNvPicPr/>
      </xdr:nvPicPr>
      <xdr:blipFill>
        <a:blip r:embed="rId1" r:link="rId2"/>
        <a:stretch>
          <a:fillRect/>
        </a:stretch>
      </xdr:blipFill>
      <xdr:spPr>
        <a:xfrm>
          <a:off x="6214110" y="1816100"/>
          <a:ext cx="2482850" cy="141986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j.qq.com/s2/25994373/df52/" TargetMode="External"/><Relationship Id="rId8" Type="http://schemas.openxmlformats.org/officeDocument/2006/relationships/hyperlink" Target="https://steamcommunity.com/profiles/76561198341323392/" TargetMode="External"/><Relationship Id="rId7" Type="http://schemas.openxmlformats.org/officeDocument/2006/relationships/hyperlink" Target="https://steamcommunity.com/profiles/76561198114295313/" TargetMode="External"/><Relationship Id="rId6" Type="http://schemas.openxmlformats.org/officeDocument/2006/relationships/hyperlink" Target="https://steamcommunity.com/profiles/76561198227985060/" TargetMode="External"/><Relationship Id="rId5" Type="http://schemas.openxmlformats.org/officeDocument/2006/relationships/hyperlink" Target="https://steamcommunity.com/profiles/76561198216148128/" TargetMode="External"/><Relationship Id="rId4" Type="http://schemas.openxmlformats.org/officeDocument/2006/relationships/hyperlink" Target="https://steamcommunity.com/profiles/76561198845853751/" TargetMode="External"/><Relationship Id="rId3" Type="http://schemas.openxmlformats.org/officeDocument/2006/relationships/hyperlink" Target="https://steamcommunity.com/profiles/76561198301936498/" TargetMode="External"/><Relationship Id="rId2" Type="http://schemas.openxmlformats.org/officeDocument/2006/relationships/hyperlink" Target="https://steamcommunity.com/profiles/76561198114117906/" TargetMode="External"/><Relationship Id="rId1" Type="http://schemas.openxmlformats.org/officeDocument/2006/relationships/hyperlink" Target="https://steamcommunity.com/profiles/76561198148199573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s://wj.qq.com/s2/25994373/df52/" TargetMode="Externa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2赛程"/>
  <dimension ref="A1:R94"/>
  <sheetViews>
    <sheetView workbookViewId="0">
      <selection activeCell="A1" sqref="A1"/>
    </sheetView>
  </sheetViews>
  <sheetFormatPr defaultColWidth="14" defaultRowHeight="18" customHeight="1"/>
  <cols>
    <col min="1" max="2" width="13.671875" style="1"/>
    <col min="3" max="3" width="26.3046875" style="1" customWidth="1"/>
    <col min="4" max="9" width="13.671875" style="1"/>
    <col min="10" max="10" width="19.890625" style="1" customWidth="1"/>
    <col min="11" max="28" width="13.671875" style="1"/>
  </cols>
  <sheetData>
    <row r="1" ht="16" spans="2:12">
      <c r="B1" s="85" t="s">
        <v>0</v>
      </c>
      <c r="C1" s="290" t="s">
        <v>1</v>
      </c>
      <c r="D1" s="85" t="s">
        <v>2</v>
      </c>
      <c r="E1" s="85" t="s">
        <v>3</v>
      </c>
      <c r="I1" s="85" t="s">
        <v>0</v>
      </c>
      <c r="J1" s="85" t="s">
        <v>1</v>
      </c>
      <c r="K1" s="85" t="s">
        <v>2</v>
      </c>
      <c r="L1" s="85" t="s">
        <v>3</v>
      </c>
    </row>
    <row r="2" ht="22.5" customHeight="1" spans="2:18">
      <c r="B2" s="85" t="s">
        <v>4</v>
      </c>
      <c r="C2" s="290" t="s">
        <v>5</v>
      </c>
      <c r="D2" s="85"/>
      <c r="E2" s="85"/>
      <c r="F2" s="12" t="s">
        <v>6</v>
      </c>
      <c r="I2" s="85" t="s">
        <v>7</v>
      </c>
      <c r="J2" s="85" t="s">
        <v>8</v>
      </c>
      <c r="K2" s="85"/>
      <c r="L2" s="85"/>
      <c r="M2" s="361" t="s">
        <v>6</v>
      </c>
      <c r="O2" s="12" t="s">
        <v>6</v>
      </c>
      <c r="P2" s="58"/>
      <c r="Q2" s="58"/>
      <c r="R2" s="58"/>
    </row>
    <row r="3" ht="22.5" customHeight="1" spans="2:18">
      <c r="B3" s="85" t="s">
        <v>9</v>
      </c>
      <c r="C3" s="290" t="s">
        <v>10</v>
      </c>
      <c r="D3" s="85"/>
      <c r="E3" s="85"/>
      <c r="F3" s="12" t="s">
        <v>11</v>
      </c>
      <c r="I3" s="85"/>
      <c r="J3" s="85" t="s">
        <v>12</v>
      </c>
      <c r="K3" s="85"/>
      <c r="L3" s="85"/>
      <c r="M3" s="361" t="s">
        <v>11</v>
      </c>
      <c r="O3" s="58"/>
      <c r="P3" s="362"/>
      <c r="Q3" s="58"/>
      <c r="R3" s="58"/>
    </row>
    <row r="4" ht="22.5" customHeight="1" spans="1:18">
      <c r="A4" s="1" t="s">
        <v>13</v>
      </c>
      <c r="B4" s="85" t="s">
        <v>14</v>
      </c>
      <c r="C4" s="290" t="s">
        <v>15</v>
      </c>
      <c r="D4" s="85"/>
      <c r="E4" s="85"/>
      <c r="F4" s="12" t="s">
        <v>16</v>
      </c>
      <c r="H4" s="1" t="s">
        <v>17</v>
      </c>
      <c r="I4" s="85" t="s">
        <v>18</v>
      </c>
      <c r="J4" s="85" t="s">
        <v>19</v>
      </c>
      <c r="K4" s="85"/>
      <c r="L4" s="85"/>
      <c r="M4" s="361" t="s">
        <v>16</v>
      </c>
      <c r="O4" s="361" t="s">
        <v>20</v>
      </c>
      <c r="P4" s="58"/>
      <c r="Q4" s="363"/>
      <c r="R4" s="58"/>
    </row>
    <row r="5" ht="22.5" customHeight="1" spans="2:18">
      <c r="B5" s="85" t="s">
        <v>21</v>
      </c>
      <c r="C5" s="358" t="s">
        <v>22</v>
      </c>
      <c r="D5" s="85"/>
      <c r="E5" s="85"/>
      <c r="F5" s="12" t="s">
        <v>20</v>
      </c>
      <c r="I5" s="85"/>
      <c r="J5" s="85" t="s">
        <v>23</v>
      </c>
      <c r="K5" s="85"/>
      <c r="L5" s="85"/>
      <c r="M5" s="361" t="s">
        <v>20</v>
      </c>
      <c r="O5" s="58"/>
      <c r="P5" s="58"/>
      <c r="Q5"/>
      <c r="R5" s="58"/>
    </row>
    <row r="6" ht="22.5" customHeight="1" spans="2:18">
      <c r="B6" s="85" t="s">
        <v>24</v>
      </c>
      <c r="C6" s="85" t="s">
        <v>25</v>
      </c>
      <c r="D6" s="88"/>
      <c r="E6" s="85"/>
      <c r="F6" s="359" t="s">
        <v>26</v>
      </c>
      <c r="I6" s="360" t="s">
        <v>27</v>
      </c>
      <c r="J6" s="358" t="s">
        <v>28</v>
      </c>
      <c r="K6" s="85"/>
      <c r="L6" s="85"/>
      <c r="M6" s="359" t="s">
        <v>26</v>
      </c>
      <c r="O6" s="58"/>
      <c r="P6" s="58"/>
      <c r="Q6"/>
      <c r="R6" s="58"/>
    </row>
    <row r="7" ht="22.5" customHeight="1" spans="2:18">
      <c r="B7" s="85" t="s">
        <v>21</v>
      </c>
      <c r="C7" s="290" t="s">
        <v>29</v>
      </c>
      <c r="D7" s="85"/>
      <c r="E7" s="85"/>
      <c r="F7" s="359" t="s">
        <v>26</v>
      </c>
      <c r="I7" s="85"/>
      <c r="J7" s="85" t="s">
        <v>30</v>
      </c>
      <c r="K7" s="85"/>
      <c r="L7" s="85"/>
      <c r="M7" s="359" t="s">
        <v>26</v>
      </c>
      <c r="O7" s="12" t="s">
        <v>11</v>
      </c>
      <c r="P7" s="58"/>
      <c r="Q7"/>
      <c r="R7" s="58"/>
    </row>
    <row r="8" ht="31" spans="7:18">
      <c r="G8" s="1" t="s">
        <v>31</v>
      </c>
      <c r="O8" s="58"/>
      <c r="P8" s="362"/>
      <c r="Q8" s="58"/>
      <c r="R8" s="364"/>
    </row>
    <row r="9" ht="16" spans="3:18">
      <c r="C9" s="85" t="s">
        <v>32</v>
      </c>
      <c r="D9" s="85" t="s">
        <v>33</v>
      </c>
      <c r="E9" s="85" t="s">
        <v>34</v>
      </c>
      <c r="J9" s="85" t="s">
        <v>32</v>
      </c>
      <c r="K9" s="85" t="s">
        <v>33</v>
      </c>
      <c r="L9" s="85" t="s">
        <v>34</v>
      </c>
      <c r="O9" s="361" t="s">
        <v>16</v>
      </c>
      <c r="P9" s="58"/>
      <c r="Q9" s="58"/>
      <c r="R9"/>
    </row>
    <row r="10" ht="31" spans="3:18">
      <c r="C10" s="85" t="s">
        <v>35</v>
      </c>
      <c r="D10" s="85"/>
      <c r="E10" s="85"/>
      <c r="J10" s="85" t="s">
        <v>36</v>
      </c>
      <c r="K10" s="85"/>
      <c r="L10" s="85"/>
      <c r="O10" s="58"/>
      <c r="P10" s="58"/>
      <c r="Q10" s="58"/>
      <c r="R10"/>
    </row>
    <row r="11" ht="16" spans="3:18">
      <c r="C11" s="85" t="s">
        <v>37</v>
      </c>
      <c r="D11" s="85"/>
      <c r="E11" s="85"/>
      <c r="J11" s="85" t="s">
        <v>38</v>
      </c>
      <c r="K11" s="85"/>
      <c r="L11" s="85"/>
      <c r="O11" s="58"/>
      <c r="P11" s="58"/>
      <c r="Q11" s="58"/>
      <c r="R11"/>
    </row>
    <row r="12" ht="31" spans="3:18">
      <c r="C12" s="85" t="s">
        <v>39</v>
      </c>
      <c r="D12" s="85"/>
      <c r="E12" s="85"/>
      <c r="J12" s="85" t="s">
        <v>40</v>
      </c>
      <c r="K12" s="85"/>
      <c r="L12" s="85"/>
      <c r="O12" s="12" t="s">
        <v>16</v>
      </c>
      <c r="P12" s="58"/>
      <c r="Q12" s="58"/>
      <c r="R12"/>
    </row>
    <row r="13" ht="31" spans="3:18">
      <c r="C13" s="85" t="s">
        <v>41</v>
      </c>
      <c r="D13" s="85"/>
      <c r="E13" s="85"/>
      <c r="J13" s="85" t="s">
        <v>42</v>
      </c>
      <c r="K13" s="85"/>
      <c r="L13" s="85"/>
      <c r="O13" s="58"/>
      <c r="P13" s="362"/>
      <c r="Q13" s="58"/>
      <c r="R13"/>
    </row>
    <row r="14" ht="31" spans="3:18">
      <c r="C14" s="85" t="s">
        <v>43</v>
      </c>
      <c r="D14" s="85"/>
      <c r="E14" s="85"/>
      <c r="J14" s="85" t="s">
        <v>44</v>
      </c>
      <c r="K14" s="85"/>
      <c r="L14" s="85"/>
      <c r="O14" s="361" t="s">
        <v>11</v>
      </c>
      <c r="P14" s="58"/>
      <c r="Q14" s="363"/>
      <c r="R14" s="58"/>
    </row>
    <row r="15" ht="16" spans="3:18">
      <c r="C15" s="85" t="s">
        <v>45</v>
      </c>
      <c r="D15" s="85"/>
      <c r="E15" s="85"/>
      <c r="J15" s="85" t="s">
        <v>46</v>
      </c>
      <c r="K15" s="85"/>
      <c r="L15" s="85"/>
      <c r="O15" s="58"/>
      <c r="P15" s="58"/>
      <c r="Q15"/>
      <c r="R15" s="58"/>
    </row>
    <row r="16" ht="31" spans="3:18">
      <c r="C16" s="85" t="s">
        <v>47</v>
      </c>
      <c r="D16" s="85"/>
      <c r="E16" s="85"/>
      <c r="J16" s="85" t="s">
        <v>48</v>
      </c>
      <c r="K16" s="85"/>
      <c r="L16" s="85"/>
      <c r="O16" s="58"/>
      <c r="Q16"/>
      <c r="R16" s="58"/>
    </row>
    <row r="17" ht="31" spans="3:18">
      <c r="C17" s="85" t="s">
        <v>49</v>
      </c>
      <c r="D17" s="85"/>
      <c r="E17" s="85"/>
      <c r="J17" s="85" t="s">
        <v>50</v>
      </c>
      <c r="K17" s="85"/>
      <c r="L17" s="85"/>
      <c r="O17" s="12" t="s">
        <v>20</v>
      </c>
      <c r="P17" s="58"/>
      <c r="Q17"/>
      <c r="R17" s="58"/>
    </row>
    <row r="18" ht="31" spans="3:18">
      <c r="C18" s="85" t="s">
        <v>51</v>
      </c>
      <c r="D18" s="85"/>
      <c r="E18" s="85"/>
      <c r="J18" s="85" t="s">
        <v>52</v>
      </c>
      <c r="K18" s="85"/>
      <c r="L18" s="85"/>
      <c r="P18" s="362"/>
      <c r="Q18" s="58"/>
      <c r="R18" s="58"/>
    </row>
    <row r="19" ht="16" spans="3:18">
      <c r="C19" s="85" t="s">
        <v>53</v>
      </c>
      <c r="D19" s="85"/>
      <c r="E19" s="85"/>
      <c r="J19" s="85" t="s">
        <v>54</v>
      </c>
      <c r="K19" s="85"/>
      <c r="L19" s="85"/>
      <c r="O19" s="58"/>
      <c r="P19" s="58"/>
      <c r="Q19" s="58"/>
      <c r="R19" s="58"/>
    </row>
    <row r="20" ht="31" spans="3:18">
      <c r="C20" s="85" t="s">
        <v>55</v>
      </c>
      <c r="D20" s="85"/>
      <c r="E20" s="85"/>
      <c r="J20" s="85" t="s">
        <v>56</v>
      </c>
      <c r="K20" s="85"/>
      <c r="L20" s="85"/>
      <c r="O20" s="361" t="s">
        <v>6</v>
      </c>
      <c r="P20" s="58"/>
      <c r="Q20" s="58"/>
      <c r="R20" s="58"/>
    </row>
    <row r="21" ht="16" spans="3:12">
      <c r="C21" s="85" t="s">
        <v>57</v>
      </c>
      <c r="D21" s="85"/>
      <c r="E21" s="85"/>
      <c r="J21" s="85" t="s">
        <v>58</v>
      </c>
      <c r="K21" s="85"/>
      <c r="L21" s="85"/>
    </row>
    <row r="22" ht="31" spans="3:12">
      <c r="C22" s="85" t="s">
        <v>59</v>
      </c>
      <c r="D22" s="85"/>
      <c r="E22" s="85"/>
      <c r="J22" s="85" t="s">
        <v>60</v>
      </c>
      <c r="K22" s="85"/>
      <c r="L22" s="85"/>
    </row>
    <row r="23" ht="31" spans="3:13">
      <c r="C23" s="85" t="s">
        <v>61</v>
      </c>
      <c r="D23" s="85"/>
      <c r="E23" s="85"/>
      <c r="J23" s="85" t="s">
        <v>62</v>
      </c>
      <c r="K23" s="85"/>
      <c r="L23" s="85"/>
      <c r="M23" s="58"/>
    </row>
    <row r="24" ht="31" spans="3:13">
      <c r="C24" s="85" t="s">
        <v>63</v>
      </c>
      <c r="D24" s="85"/>
      <c r="E24" s="85"/>
      <c r="F24" s="58"/>
      <c r="J24" s="85" t="s">
        <v>64</v>
      </c>
      <c r="K24" s="85"/>
      <c r="L24" s="85"/>
      <c r="M24" s="58"/>
    </row>
    <row r="25" ht="15.2"/>
    <row r="26" ht="15.2"/>
    <row r="28" ht="15.2" spans="6:13">
      <c r="F28" s="58"/>
      <c r="L28" s="58"/>
      <c r="M28" s="58"/>
    </row>
    <row r="67" ht="409.5" customHeight="1" spans="1:1">
      <c r="A67" s="1" t="s">
        <v>65</v>
      </c>
    </row>
  </sheetData>
  <mergeCells count="4">
    <mergeCell ref="Q4:Q7"/>
    <mergeCell ref="Q14:Q17"/>
    <mergeCell ref="R8:R13"/>
    <mergeCell ref="A67:F94"/>
  </mergeCells>
  <hyperlinks>
    <hyperlink ref="B2" r:id="rId1" display="https://steamcommunity.com/profiles/76561198148199573/"/>
    <hyperlink ref="I2" r:id="rId2" display="https://steamcommunity.com/profiles/76561198114117906/"/>
    <hyperlink ref="B3" r:id="rId3" display="https://steamcommunity.com/profiles/76561198301936498/"/>
    <hyperlink ref="B4" r:id="rId4" display="https://steamcommunity.com/profiles/76561198845853751/"/>
    <hyperlink ref="I4" r:id="rId5" display="https://steamcommunity.com/profiles/76561198216148128/"/>
    <hyperlink ref="B5" r:id="rId6" display="https://steamcommunity.com/profiles/76561198227985060/"/>
    <hyperlink ref="B6" r:id="rId7" display="https://steamcommunity.com/profiles/76561198114295313/"/>
    <hyperlink ref="I6" r:id="rId8" display="https://steamcommunity.com/profiles/76561198341323392/"/>
    <hyperlink ref="B7" r:id="rId6" display="https://steamcommunity.com/profiles/76561198227985060/"/>
    <hyperlink ref="A67" r:id="rId9" display="🌧️ 微雨杯 S2「醉耀春锋」已开启报名&#10;&#10;衷心感谢尤总、leo、马来王子、廷总、晓锅匠（排名不分先后）慷慨相助，以热忱护热爱，以心意赴赛场，让每一份拼搏都有荣光可赴。&#10;&#10;微雨杯 S2「醉耀春锋」赛制将在S1赛制基础上进行优化升级。确保每个参赛选手获得更公平、更均衡、更有趣的游戏体验。&#10;&#10;🏆 战队名次之赏&#10;🥇 冠军战队&#10;•葡萄白酒🍇🍶×1：以清冽琼浆，敬登顶之荣耀&#10;•智力斗篷挂饰🧙‍♂️×1：以魔法之纹，承运筹之智慧&#10;•自选 DOTA2 冰箱贴🧊×1：以方寸印记，藏赛场之回忆&#10;•队长专属：敦煌福鹿呈祥杯🥂×1：以祥瑞之器，载战队之锋芒&#10;🥈 亚军战队&#10;•智力斗篷挂饰🧙‍♂️×1&#10;•自选 DOTA2 冰箱贴🧊×1&#10;•队长专属：敦煌福鹿呈祥杯🥂×1&#10;🥉 季军战队&#10;•自选 DOTA2 冰箱贴🧊×1&#10;•队长专属：敦煌福鹿呈祥杯🥂×1&#10;&#10;🎙️ 解说专属馈赠&#10;所有解说均可获得解说积分，可兑换各类 DOTA2 周边 🎁&#10;解说小肥羊、苹果君，另赠马来西亚特产巧克力 🍫，以一缕甜意，致谢声声相伴。&#10;&#10;🌟 个人数据殊荣&#10;以数据证锋芒，以坚守换嘉奖。&#10;本赛季各位置佼佼者，将获天府鱼子酱 🥢：&#10;•分均经济最高・一号位  &#10;•分均经验最高・二号位   &#10;•承伤/经济最高・三号位   &#10;•参战最高・四号位    &#10;•助攻最多・五号位&#10;&#10;⚔️ 趣味 SOLO 赛&#10;赛季同期开放SOLO 挑战赛，各路英雄可孤身赴战&#10;胜者将获神秘惊喜奖品，悬念静待揭晓 ✨&#10;愿微雨为伴，举杯共竞；&#10;以热爱为刃，以兄弟为盾，不负每一场奔赴。&#10;&#10;***特别注意：**&#10;1.比赛中禁止嘲讽、压力、辱骂队友与对手，文明竞技，尊重每一位选手。&#10;2.请确认自身时间可正常参赛，尽量避免多次迟到、无故弃赛。&#10;若违反以上规定，上帝有权直接斩杀。&#10;&#10;报名链接：https://wj.qq.com/s2/25994373/df52/&#10;报名前请确保已填写群表格并参与过内战（见群公告）&#10; &#10;更多dota2周边👇&#10;淘宝：微雨dota2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2拍卖">
    <tabColor rgb="FFFF9C99"/>
  </sheetPr>
  <dimension ref="A1:Q200"/>
  <sheetViews>
    <sheetView workbookViewId="0">
      <selection activeCell="A1" sqref="A1:H1"/>
    </sheetView>
  </sheetViews>
  <sheetFormatPr defaultColWidth="14" defaultRowHeight="18" customHeight="1"/>
  <cols>
    <col min="1" max="1" width="8.09375" style="301" customWidth="1"/>
    <col min="2" max="2" width="17.8046875" style="301" customWidth="1"/>
    <col min="3" max="3" width="9.03125" style="301" customWidth="1"/>
    <col min="4" max="4" width="10.921875" style="301" customWidth="1"/>
    <col min="5" max="5" width="20.6328125" style="301" customWidth="1"/>
    <col min="6" max="6" width="20.8984375" style="301" customWidth="1"/>
    <col min="7" max="7" width="10.921875" style="301" customWidth="1"/>
    <col min="8" max="8" width="61.2421875" style="301" customWidth="1"/>
    <col min="9" max="9" width="13.671875" style="301"/>
    <col min="10" max="10" width="16.3203125" style="301" customWidth="1"/>
    <col min="11" max="13" width="13.671875" style="301"/>
    <col min="14" max="14" width="17.1328125" style="301" customWidth="1"/>
    <col min="15" max="24" width="13.671875" style="301"/>
  </cols>
  <sheetData>
    <row r="1" ht="32.25" customHeight="1" spans="1:17">
      <c r="A1" s="302" t="s">
        <v>66</v>
      </c>
      <c r="B1" s="41"/>
      <c r="C1" s="41"/>
      <c r="D1" s="41"/>
      <c r="E1" s="41"/>
      <c r="F1" s="41"/>
      <c r="G1" s="41"/>
      <c r="H1" s="41"/>
      <c r="I1"/>
      <c r="J1"/>
      <c r="K1"/>
      <c r="L1"/>
      <c r="M1"/>
      <c r="N1"/>
      <c r="O1"/>
      <c r="P1"/>
      <c r="Q1"/>
    </row>
    <row r="2" ht="18.75" customHeight="1" spans="1:12">
      <c r="A2" s="303" t="s">
        <v>67</v>
      </c>
      <c r="B2" s="303" t="s">
        <v>68</v>
      </c>
      <c r="C2" s="303" t="s">
        <v>69</v>
      </c>
      <c r="D2" s="303" t="s">
        <v>70</v>
      </c>
      <c r="E2" s="303" t="s">
        <v>71</v>
      </c>
      <c r="F2" s="303" t="s">
        <v>72</v>
      </c>
      <c r="G2" s="303" t="s">
        <v>73</v>
      </c>
      <c r="H2" s="303" t="s">
        <v>74</v>
      </c>
      <c r="L2"/>
    </row>
    <row r="3" ht="18.75" customHeight="1" spans="1:17">
      <c r="A3" s="304">
        <v>1</v>
      </c>
      <c r="B3" s="305" t="s">
        <v>75</v>
      </c>
      <c r="C3" s="304">
        <v>88</v>
      </c>
      <c r="D3" s="304">
        <v>8750</v>
      </c>
      <c r="E3" s="304" t="s">
        <v>76</v>
      </c>
      <c r="F3" s="304" t="s">
        <v>77</v>
      </c>
      <c r="G3" s="304">
        <v>1</v>
      </c>
      <c r="H3" s="304" t="s">
        <v>78</v>
      </c>
      <c r="J3" s="313"/>
      <c r="K3" s="41"/>
      <c r="L3" s="314" t="s">
        <v>69</v>
      </c>
      <c r="M3" s="314" t="s">
        <v>79</v>
      </c>
      <c r="N3" s="332"/>
      <c r="O3" s="41"/>
      <c r="P3" s="333" t="s">
        <v>69</v>
      </c>
      <c r="Q3" s="356" t="s">
        <v>79</v>
      </c>
    </row>
    <row r="4" ht="18.75" customHeight="1" spans="1:17">
      <c r="A4" s="304">
        <v>2</v>
      </c>
      <c r="B4" s="305" t="s">
        <v>80</v>
      </c>
      <c r="C4" s="304">
        <v>84</v>
      </c>
      <c r="D4" s="304">
        <v>8330</v>
      </c>
      <c r="E4" s="304" t="s">
        <v>76</v>
      </c>
      <c r="F4" s="304" t="s">
        <v>81</v>
      </c>
      <c r="G4" s="304">
        <v>4</v>
      </c>
      <c r="H4" s="304" t="s">
        <v>82</v>
      </c>
      <c r="J4" s="315" t="s">
        <v>83</v>
      </c>
      <c r="K4" s="315">
        <v>330</v>
      </c>
      <c r="L4" s="315">
        <v>90</v>
      </c>
      <c r="M4" s="315">
        <f>K4-K5-K6-K7-K8</f>
        <v>0</v>
      </c>
      <c r="N4" s="334" t="s">
        <v>84</v>
      </c>
      <c r="O4" s="334">
        <v>330</v>
      </c>
      <c r="P4" s="334">
        <v>90</v>
      </c>
      <c r="Q4" s="334">
        <f>O4-O5-O6-O7-O8</f>
        <v>0</v>
      </c>
    </row>
    <row r="5" ht="18.75" customHeight="1" spans="1:17">
      <c r="A5" s="304">
        <v>3</v>
      </c>
      <c r="B5" s="305" t="s">
        <v>85</v>
      </c>
      <c r="C5" s="304">
        <v>83</v>
      </c>
      <c r="D5" s="306">
        <v>8600</v>
      </c>
      <c r="E5" s="304" t="s">
        <v>76</v>
      </c>
      <c r="F5" s="304"/>
      <c r="G5" s="304">
        <v>1</v>
      </c>
      <c r="H5" s="304"/>
      <c r="J5" s="315" t="s">
        <v>86</v>
      </c>
      <c r="K5" s="315">
        <v>150</v>
      </c>
      <c r="L5" s="315">
        <v>83</v>
      </c>
      <c r="M5" s="172"/>
      <c r="N5" s="334" t="s">
        <v>87</v>
      </c>
      <c r="O5" s="334">
        <v>160</v>
      </c>
      <c r="P5" s="334">
        <v>75</v>
      </c>
      <c r="Q5" s="172"/>
    </row>
    <row r="6" ht="18.75" customHeight="1" spans="1:17">
      <c r="A6" s="304">
        <v>4</v>
      </c>
      <c r="B6" s="305" t="s">
        <v>88</v>
      </c>
      <c r="C6" s="304">
        <v>83</v>
      </c>
      <c r="D6" s="304">
        <v>8000</v>
      </c>
      <c r="E6" s="304" t="s">
        <v>89</v>
      </c>
      <c r="F6" s="304" t="s">
        <v>81</v>
      </c>
      <c r="G6" s="304">
        <v>1</v>
      </c>
      <c r="H6" s="306" t="s">
        <v>90</v>
      </c>
      <c r="J6" s="315" t="s">
        <v>91</v>
      </c>
      <c r="K6" s="315">
        <v>120</v>
      </c>
      <c r="L6" s="315">
        <v>70</v>
      </c>
      <c r="M6" s="172"/>
      <c r="N6" s="334" t="s">
        <v>92</v>
      </c>
      <c r="O6" s="334">
        <v>75</v>
      </c>
      <c r="P6" s="334">
        <v>58</v>
      </c>
      <c r="Q6" s="172"/>
    </row>
    <row r="7" ht="18.75" customHeight="1" spans="1:17">
      <c r="A7" s="304">
        <v>5</v>
      </c>
      <c r="B7" s="305" t="s">
        <v>86</v>
      </c>
      <c r="C7" s="304">
        <v>82</v>
      </c>
      <c r="D7" s="304">
        <v>8900</v>
      </c>
      <c r="E7" s="304" t="s">
        <v>81</v>
      </c>
      <c r="F7" s="304" t="s">
        <v>89</v>
      </c>
      <c r="G7" s="304">
        <v>0</v>
      </c>
      <c r="H7" s="304" t="s">
        <v>93</v>
      </c>
      <c r="J7" s="315" t="s">
        <v>94</v>
      </c>
      <c r="K7" s="315">
        <v>30</v>
      </c>
      <c r="L7" s="315">
        <v>30</v>
      </c>
      <c r="M7" s="172"/>
      <c r="N7" s="334" t="s">
        <v>95</v>
      </c>
      <c r="O7" s="334">
        <v>30</v>
      </c>
      <c r="P7" s="334">
        <v>45</v>
      </c>
      <c r="Q7" s="172"/>
    </row>
    <row r="8" ht="18.75" customHeight="1" spans="1:17">
      <c r="A8" s="304">
        <v>6</v>
      </c>
      <c r="B8" s="305" t="s">
        <v>96</v>
      </c>
      <c r="C8" s="304">
        <v>81</v>
      </c>
      <c r="D8" s="304">
        <v>7500</v>
      </c>
      <c r="E8" s="304" t="s">
        <v>97</v>
      </c>
      <c r="F8" s="304"/>
      <c r="G8" s="304">
        <v>2</v>
      </c>
      <c r="H8" s="304" t="s">
        <v>98</v>
      </c>
      <c r="J8" s="315" t="s">
        <v>99</v>
      </c>
      <c r="K8" s="315">
        <v>30</v>
      </c>
      <c r="L8" s="315">
        <v>44</v>
      </c>
      <c r="M8" s="172"/>
      <c r="N8" s="334" t="s">
        <v>100</v>
      </c>
      <c r="O8" s="334">
        <v>65</v>
      </c>
      <c r="P8" s="334">
        <v>53</v>
      </c>
      <c r="Q8" s="172"/>
    </row>
    <row r="9" ht="18.75" customHeight="1" spans="1:17">
      <c r="A9" s="304">
        <v>7</v>
      </c>
      <c r="B9" s="305" t="s">
        <v>101</v>
      </c>
      <c r="C9" s="304">
        <v>80</v>
      </c>
      <c r="D9" s="304">
        <v>8000</v>
      </c>
      <c r="E9" s="304" t="s">
        <v>76</v>
      </c>
      <c r="F9" s="304"/>
      <c r="G9" s="304">
        <v>0</v>
      </c>
      <c r="H9" s="304"/>
      <c r="J9" s="315"/>
      <c r="K9" s="315"/>
      <c r="L9" s="316">
        <f>SUM(L4:L8)</f>
        <v>317</v>
      </c>
      <c r="M9" s="172"/>
      <c r="N9" s="335"/>
      <c r="O9" s="335"/>
      <c r="P9" s="336">
        <f>SUM(P4:P8)</f>
        <v>321</v>
      </c>
      <c r="Q9" s="172"/>
    </row>
    <row r="10" ht="18.75" customHeight="1" spans="1:17">
      <c r="A10" s="304">
        <v>8</v>
      </c>
      <c r="B10" s="305" t="s">
        <v>102</v>
      </c>
      <c r="C10" s="304">
        <v>78</v>
      </c>
      <c r="D10" s="304">
        <v>7800</v>
      </c>
      <c r="E10" s="304" t="s">
        <v>97</v>
      </c>
      <c r="F10" s="304" t="s">
        <v>81</v>
      </c>
      <c r="G10" s="304">
        <v>0</v>
      </c>
      <c r="H10" s="304" t="s">
        <v>103</v>
      </c>
      <c r="J10" s="317"/>
      <c r="K10" s="41"/>
      <c r="L10" s="274" t="s">
        <v>69</v>
      </c>
      <c r="M10" s="274" t="s">
        <v>79</v>
      </c>
      <c r="N10" s="337"/>
      <c r="O10" s="41"/>
      <c r="P10" s="338" t="s">
        <v>69</v>
      </c>
      <c r="Q10" s="338" t="s">
        <v>79</v>
      </c>
    </row>
    <row r="11" ht="18.75" customHeight="1" spans="1:17">
      <c r="A11" s="304">
        <v>9</v>
      </c>
      <c r="B11" s="305" t="s">
        <v>104</v>
      </c>
      <c r="C11" s="304">
        <v>77</v>
      </c>
      <c r="D11" s="304">
        <v>7700</v>
      </c>
      <c r="E11" s="304" t="s">
        <v>89</v>
      </c>
      <c r="F11" s="304" t="s">
        <v>105</v>
      </c>
      <c r="G11" s="304">
        <v>2</v>
      </c>
      <c r="H11" s="304" t="s">
        <v>106</v>
      </c>
      <c r="J11" s="318" t="s">
        <v>107</v>
      </c>
      <c r="K11" s="318">
        <v>330</v>
      </c>
      <c r="L11" s="318">
        <v>89</v>
      </c>
      <c r="M11" s="318">
        <f>K11-K12-K13-K14-K15</f>
        <v>0</v>
      </c>
      <c r="N11" s="339" t="s">
        <v>108</v>
      </c>
      <c r="O11" s="339">
        <v>335</v>
      </c>
      <c r="P11" s="339">
        <v>88</v>
      </c>
      <c r="Q11" s="339">
        <f>O11-O12-O13-O14-O15</f>
        <v>0</v>
      </c>
    </row>
    <row r="12" ht="18.75" customHeight="1" spans="1:17">
      <c r="A12" s="304">
        <v>10</v>
      </c>
      <c r="B12" s="305" t="s">
        <v>109</v>
      </c>
      <c r="C12" s="304">
        <v>76</v>
      </c>
      <c r="D12" s="304">
        <v>6500</v>
      </c>
      <c r="E12" s="304" t="s">
        <v>110</v>
      </c>
      <c r="F12" s="304" t="s">
        <v>111</v>
      </c>
      <c r="G12" s="304">
        <v>0</v>
      </c>
      <c r="H12" s="304" t="s">
        <v>112</v>
      </c>
      <c r="J12" s="318" t="s">
        <v>113</v>
      </c>
      <c r="K12" s="318">
        <v>160</v>
      </c>
      <c r="L12" s="318">
        <v>75</v>
      </c>
      <c r="M12" s="172"/>
      <c r="N12" s="339" t="s">
        <v>114</v>
      </c>
      <c r="O12" s="339">
        <v>75</v>
      </c>
      <c r="P12" s="339">
        <v>65</v>
      </c>
      <c r="Q12" s="172"/>
    </row>
    <row r="13" ht="18.75" customHeight="1" spans="1:17">
      <c r="A13" s="304">
        <v>11</v>
      </c>
      <c r="B13" s="305" t="s">
        <v>115</v>
      </c>
      <c r="C13" s="304">
        <v>75</v>
      </c>
      <c r="D13" s="304">
        <v>6800</v>
      </c>
      <c r="E13" s="304" t="s">
        <v>76</v>
      </c>
      <c r="F13" s="304"/>
      <c r="G13" s="304">
        <v>1</v>
      </c>
      <c r="H13" s="304" t="s">
        <v>116</v>
      </c>
      <c r="J13" s="318" t="s">
        <v>117</v>
      </c>
      <c r="K13" s="318">
        <v>70</v>
      </c>
      <c r="L13" s="318">
        <v>50</v>
      </c>
      <c r="M13" s="172"/>
      <c r="N13" s="307" t="s">
        <v>118</v>
      </c>
      <c r="O13" s="339">
        <v>100</v>
      </c>
      <c r="P13" s="339">
        <v>60</v>
      </c>
      <c r="Q13" s="172"/>
    </row>
    <row r="14" ht="18.75" customHeight="1" spans="1:17">
      <c r="A14" s="304">
        <v>12</v>
      </c>
      <c r="B14" s="305" t="s">
        <v>87</v>
      </c>
      <c r="C14" s="304">
        <v>75</v>
      </c>
      <c r="D14" s="304">
        <v>7500</v>
      </c>
      <c r="E14" s="304" t="s">
        <v>97</v>
      </c>
      <c r="F14" s="304"/>
      <c r="G14" s="304">
        <v>3</v>
      </c>
      <c r="H14" s="304" t="s">
        <v>119</v>
      </c>
      <c r="J14" s="318" t="s">
        <v>120</v>
      </c>
      <c r="K14" s="318">
        <v>60</v>
      </c>
      <c r="L14" s="318">
        <v>55</v>
      </c>
      <c r="M14" s="172"/>
      <c r="N14" s="339" t="s">
        <v>121</v>
      </c>
      <c r="O14" s="339">
        <v>80</v>
      </c>
      <c r="P14" s="339">
        <v>60</v>
      </c>
      <c r="Q14" s="172"/>
    </row>
    <row r="15" ht="18.75" customHeight="1" spans="1:17">
      <c r="A15" s="304">
        <v>13</v>
      </c>
      <c r="B15" s="305" t="s">
        <v>113</v>
      </c>
      <c r="C15" s="304">
        <v>75</v>
      </c>
      <c r="D15" s="304">
        <v>6800</v>
      </c>
      <c r="E15" s="304" t="s">
        <v>97</v>
      </c>
      <c r="F15" s="304" t="s">
        <v>122</v>
      </c>
      <c r="G15" s="304">
        <v>1</v>
      </c>
      <c r="H15" s="304"/>
      <c r="J15" s="318" t="s">
        <v>123</v>
      </c>
      <c r="K15" s="318">
        <v>40</v>
      </c>
      <c r="L15" s="318">
        <v>44</v>
      </c>
      <c r="M15" s="172"/>
      <c r="N15" s="339" t="s">
        <v>124</v>
      </c>
      <c r="O15" s="339">
        <v>80</v>
      </c>
      <c r="P15" s="339">
        <v>45</v>
      </c>
      <c r="Q15" s="172"/>
    </row>
    <row r="16" ht="18.75" customHeight="1" spans="1:17">
      <c r="A16" s="304">
        <v>14</v>
      </c>
      <c r="B16" s="305" t="s">
        <v>91</v>
      </c>
      <c r="C16" s="307">
        <v>70</v>
      </c>
      <c r="D16" s="307">
        <v>6800</v>
      </c>
      <c r="E16" s="307" t="s">
        <v>76</v>
      </c>
      <c r="F16" s="307" t="s">
        <v>89</v>
      </c>
      <c r="G16" s="307">
        <v>0</v>
      </c>
      <c r="H16" s="307" t="s">
        <v>125</v>
      </c>
      <c r="J16" s="319"/>
      <c r="K16" s="318"/>
      <c r="L16" s="320">
        <f>SUM(L11:L15)</f>
        <v>313</v>
      </c>
      <c r="M16" s="172"/>
      <c r="N16" s="339"/>
      <c r="O16" s="339"/>
      <c r="P16" s="340">
        <f>SUM(P11:P15)</f>
        <v>318</v>
      </c>
      <c r="Q16" s="172"/>
    </row>
    <row r="17" ht="18.75" customHeight="1" spans="1:17">
      <c r="A17" s="304">
        <v>15</v>
      </c>
      <c r="B17" s="305" t="s">
        <v>126</v>
      </c>
      <c r="C17" s="307">
        <v>68</v>
      </c>
      <c r="D17" s="307">
        <v>6000</v>
      </c>
      <c r="E17" s="307" t="s">
        <v>127</v>
      </c>
      <c r="F17" s="307"/>
      <c r="G17" s="307">
        <v>0</v>
      </c>
      <c r="H17" s="311" t="s">
        <v>128</v>
      </c>
      <c r="J17" s="321"/>
      <c r="K17" s="41"/>
      <c r="L17" s="322" t="s">
        <v>69</v>
      </c>
      <c r="M17" s="323" t="s">
        <v>79</v>
      </c>
      <c r="N17" s="341"/>
      <c r="O17" s="41"/>
      <c r="P17" s="342" t="s">
        <v>69</v>
      </c>
      <c r="Q17" s="357" t="s">
        <v>79</v>
      </c>
    </row>
    <row r="18" ht="18.75" customHeight="1" spans="1:17">
      <c r="A18" s="304">
        <v>16</v>
      </c>
      <c r="B18" s="305" t="s">
        <v>114</v>
      </c>
      <c r="C18" s="307">
        <v>65</v>
      </c>
      <c r="D18" s="307">
        <v>4300</v>
      </c>
      <c r="E18" s="307" t="s">
        <v>97</v>
      </c>
      <c r="F18" s="307" t="s">
        <v>81</v>
      </c>
      <c r="G18" s="307">
        <v>1</v>
      </c>
      <c r="H18" s="307" t="s">
        <v>129</v>
      </c>
      <c r="J18" s="323" t="s">
        <v>130</v>
      </c>
      <c r="K18" s="323">
        <v>335</v>
      </c>
      <c r="L18" s="323">
        <v>87</v>
      </c>
      <c r="M18" s="323">
        <f>K18-K19-K20-K21-K22</f>
        <v>0</v>
      </c>
      <c r="N18" s="343" t="s">
        <v>131</v>
      </c>
      <c r="O18" s="343">
        <v>340</v>
      </c>
      <c r="P18" s="343">
        <v>85</v>
      </c>
      <c r="Q18" s="343">
        <f>O18-O19-O20-O21-O22</f>
        <v>0</v>
      </c>
    </row>
    <row r="19" ht="18.75" customHeight="1" spans="1:17">
      <c r="A19" s="304">
        <v>17</v>
      </c>
      <c r="B19" s="305" t="s">
        <v>132</v>
      </c>
      <c r="C19" s="307">
        <v>63</v>
      </c>
      <c r="D19" s="307">
        <v>6000</v>
      </c>
      <c r="E19" s="307" t="s">
        <v>97</v>
      </c>
      <c r="F19" s="307" t="s">
        <v>76</v>
      </c>
      <c r="G19" s="307">
        <v>2</v>
      </c>
      <c r="H19" s="307" t="s">
        <v>133</v>
      </c>
      <c r="J19" s="323" t="s">
        <v>80</v>
      </c>
      <c r="K19" s="323">
        <v>180</v>
      </c>
      <c r="L19" s="323">
        <v>84</v>
      </c>
      <c r="M19" s="172"/>
      <c r="N19" s="343" t="s">
        <v>102</v>
      </c>
      <c r="O19" s="343">
        <v>180</v>
      </c>
      <c r="P19" s="343">
        <v>78</v>
      </c>
      <c r="Q19" s="172"/>
    </row>
    <row r="20" ht="18.75" customHeight="1" spans="1:17">
      <c r="A20" s="304">
        <v>18</v>
      </c>
      <c r="B20" s="305" t="s">
        <v>134</v>
      </c>
      <c r="C20" s="307">
        <v>60</v>
      </c>
      <c r="D20" s="307">
        <v>5900</v>
      </c>
      <c r="E20" s="307" t="s">
        <v>135</v>
      </c>
      <c r="F20" s="307" t="s">
        <v>136</v>
      </c>
      <c r="G20" s="307">
        <v>0</v>
      </c>
      <c r="H20" s="307" t="s">
        <v>137</v>
      </c>
      <c r="J20" s="323" t="s">
        <v>138</v>
      </c>
      <c r="K20" s="323">
        <v>65</v>
      </c>
      <c r="L20" s="323">
        <v>50</v>
      </c>
      <c r="M20" s="172"/>
      <c r="N20" s="343" t="s">
        <v>139</v>
      </c>
      <c r="O20" s="343">
        <v>65</v>
      </c>
      <c r="P20" s="343">
        <v>55</v>
      </c>
      <c r="Q20" s="172"/>
    </row>
    <row r="21" ht="18.75" customHeight="1" spans="1:17">
      <c r="A21" s="304">
        <v>19</v>
      </c>
      <c r="B21" s="305" t="s">
        <v>118</v>
      </c>
      <c r="C21" s="307">
        <v>60</v>
      </c>
      <c r="D21" s="307">
        <v>6000</v>
      </c>
      <c r="E21" s="307" t="s">
        <v>81</v>
      </c>
      <c r="F21" s="307"/>
      <c r="G21" s="307">
        <v>3</v>
      </c>
      <c r="H21" s="307" t="s">
        <v>140</v>
      </c>
      <c r="J21" s="323" t="s">
        <v>141</v>
      </c>
      <c r="K21" s="323">
        <v>40</v>
      </c>
      <c r="L21" s="323">
        <v>45</v>
      </c>
      <c r="M21" s="172"/>
      <c r="N21" s="343" t="s">
        <v>142</v>
      </c>
      <c r="O21" s="343">
        <v>45</v>
      </c>
      <c r="P21" s="343">
        <v>50</v>
      </c>
      <c r="Q21" s="172"/>
    </row>
    <row r="22" ht="18.75" customHeight="1" spans="1:17">
      <c r="A22" s="304">
        <v>20</v>
      </c>
      <c r="B22" s="305" t="s">
        <v>121</v>
      </c>
      <c r="C22" s="307">
        <v>60</v>
      </c>
      <c r="D22" s="307">
        <v>6000</v>
      </c>
      <c r="E22" s="307" t="s">
        <v>76</v>
      </c>
      <c r="F22" s="307" t="s">
        <v>77</v>
      </c>
      <c r="G22" s="307"/>
      <c r="H22" s="307"/>
      <c r="J22" s="323" t="s">
        <v>143</v>
      </c>
      <c r="K22" s="323">
        <v>50</v>
      </c>
      <c r="L22" s="323">
        <v>28</v>
      </c>
      <c r="M22" s="172"/>
      <c r="N22" s="343" t="s">
        <v>144</v>
      </c>
      <c r="O22" s="343">
        <v>50</v>
      </c>
      <c r="P22" s="343">
        <v>33</v>
      </c>
      <c r="Q22" s="172"/>
    </row>
    <row r="23" ht="18.75" customHeight="1" spans="1:17">
      <c r="A23" s="304">
        <v>21</v>
      </c>
      <c r="B23" s="305" t="s">
        <v>145</v>
      </c>
      <c r="C23" s="307">
        <v>60</v>
      </c>
      <c r="D23" s="307">
        <v>6000</v>
      </c>
      <c r="E23" s="307" t="s">
        <v>89</v>
      </c>
      <c r="F23" s="307" t="s">
        <v>135</v>
      </c>
      <c r="G23" s="307">
        <v>0</v>
      </c>
      <c r="H23" s="307" t="s">
        <v>146</v>
      </c>
      <c r="J23" s="323"/>
      <c r="K23" s="323"/>
      <c r="L23" s="324">
        <f>SUM(L18:L22)</f>
        <v>294</v>
      </c>
      <c r="M23" s="172"/>
      <c r="N23" s="330"/>
      <c r="O23" s="330"/>
      <c r="P23" s="344">
        <f>SUM(P18:P22)</f>
        <v>301</v>
      </c>
      <c r="Q23" s="172"/>
    </row>
    <row r="24" ht="18.75" customHeight="1" spans="1:17">
      <c r="A24" s="304">
        <v>22</v>
      </c>
      <c r="B24" s="305" t="s">
        <v>147</v>
      </c>
      <c r="C24" s="307">
        <v>59</v>
      </c>
      <c r="D24" s="307">
        <v>6200</v>
      </c>
      <c r="E24" s="307" t="s">
        <v>81</v>
      </c>
      <c r="F24" s="307" t="s">
        <v>111</v>
      </c>
      <c r="G24" s="307">
        <v>2</v>
      </c>
      <c r="H24" s="307" t="s">
        <v>148</v>
      </c>
      <c r="J24" s="325"/>
      <c r="K24" s="41"/>
      <c r="L24" s="326" t="s">
        <v>69</v>
      </c>
      <c r="M24" s="326" t="s">
        <v>79</v>
      </c>
      <c r="N24" s="345"/>
      <c r="O24" s="41"/>
      <c r="P24" s="346" t="s">
        <v>69</v>
      </c>
      <c r="Q24" s="346" t="s">
        <v>79</v>
      </c>
    </row>
    <row r="25" ht="18.75" customHeight="1" spans="1:17">
      <c r="A25" s="304">
        <v>23</v>
      </c>
      <c r="B25" s="305" t="s">
        <v>92</v>
      </c>
      <c r="C25" s="307">
        <v>58</v>
      </c>
      <c r="D25" s="307">
        <v>6000</v>
      </c>
      <c r="E25" s="307" t="s">
        <v>76</v>
      </c>
      <c r="F25" s="307" t="s">
        <v>135</v>
      </c>
      <c r="G25" s="307">
        <v>1</v>
      </c>
      <c r="H25" s="307" t="s">
        <v>149</v>
      </c>
      <c r="J25" s="327" t="s">
        <v>150</v>
      </c>
      <c r="K25" s="327">
        <v>360</v>
      </c>
      <c r="L25" s="327">
        <v>77</v>
      </c>
      <c r="M25" s="327">
        <f>K25-K26-K27-K28-K29</f>
        <v>0</v>
      </c>
      <c r="N25" s="347" t="s">
        <v>151</v>
      </c>
      <c r="O25" s="347">
        <v>360</v>
      </c>
      <c r="P25" s="347">
        <v>76</v>
      </c>
      <c r="Q25" s="347">
        <f>O25-O26-O27-O28-O29</f>
        <v>0</v>
      </c>
    </row>
    <row r="26" ht="18.75" customHeight="1" spans="1:17">
      <c r="A26" s="304">
        <v>24</v>
      </c>
      <c r="B26" s="305" t="s">
        <v>152</v>
      </c>
      <c r="C26" s="307">
        <v>56</v>
      </c>
      <c r="D26" s="307">
        <v>5600</v>
      </c>
      <c r="E26" s="307" t="s">
        <v>81</v>
      </c>
      <c r="F26" s="307" t="s">
        <v>89</v>
      </c>
      <c r="G26" s="307">
        <v>0</v>
      </c>
      <c r="H26" s="307" t="s">
        <v>153</v>
      </c>
      <c r="J26" s="327" t="s">
        <v>101</v>
      </c>
      <c r="K26" s="327">
        <v>140</v>
      </c>
      <c r="L26" s="327">
        <v>80</v>
      </c>
      <c r="M26" s="172"/>
      <c r="N26" s="347" t="s">
        <v>85</v>
      </c>
      <c r="O26" s="347">
        <v>175</v>
      </c>
      <c r="P26" s="347">
        <v>83</v>
      </c>
      <c r="Q26" s="172"/>
    </row>
    <row r="27" ht="18.75" customHeight="1" spans="1:17">
      <c r="A27" s="304">
        <v>25</v>
      </c>
      <c r="B27" s="305" t="s">
        <v>154</v>
      </c>
      <c r="C27" s="308">
        <v>55</v>
      </c>
      <c r="D27" s="308">
        <v>4100</v>
      </c>
      <c r="E27" s="308" t="s">
        <v>97</v>
      </c>
      <c r="F27" s="308" t="s">
        <v>89</v>
      </c>
      <c r="G27" s="308"/>
      <c r="H27" s="308"/>
      <c r="J27" s="308" t="s">
        <v>132</v>
      </c>
      <c r="K27" s="327">
        <v>110</v>
      </c>
      <c r="L27" s="327">
        <v>63</v>
      </c>
      <c r="M27" s="172"/>
      <c r="N27" s="347" t="s">
        <v>145</v>
      </c>
      <c r="O27" s="347">
        <v>60</v>
      </c>
      <c r="P27" s="347">
        <v>60</v>
      </c>
      <c r="Q27" s="172"/>
    </row>
    <row r="28" ht="18.75" customHeight="1" spans="1:17">
      <c r="A28" s="304">
        <v>26</v>
      </c>
      <c r="B28" s="305" t="s">
        <v>155</v>
      </c>
      <c r="C28" s="308">
        <v>55</v>
      </c>
      <c r="D28" s="308">
        <v>5500</v>
      </c>
      <c r="E28" s="308" t="s">
        <v>156</v>
      </c>
      <c r="F28" s="308"/>
      <c r="G28" s="308"/>
      <c r="H28" s="308"/>
      <c r="J28" s="327" t="s">
        <v>157</v>
      </c>
      <c r="K28" s="327">
        <v>55</v>
      </c>
      <c r="L28" s="327">
        <v>34</v>
      </c>
      <c r="M28" s="172"/>
      <c r="N28" s="347" t="s">
        <v>152</v>
      </c>
      <c r="O28" s="347">
        <v>95</v>
      </c>
      <c r="P28" s="347">
        <v>56</v>
      </c>
      <c r="Q28" s="172"/>
    </row>
    <row r="29" ht="18.75" customHeight="1" spans="1:17">
      <c r="A29" s="304">
        <v>27</v>
      </c>
      <c r="B29" s="305" t="s">
        <v>139</v>
      </c>
      <c r="C29" s="308">
        <v>55</v>
      </c>
      <c r="D29" s="308">
        <v>5500</v>
      </c>
      <c r="E29" s="308" t="s">
        <v>111</v>
      </c>
      <c r="F29" s="308" t="s">
        <v>158</v>
      </c>
      <c r="G29" s="308"/>
      <c r="H29" s="308"/>
      <c r="J29" s="327" t="s">
        <v>159</v>
      </c>
      <c r="K29" s="327">
        <v>55</v>
      </c>
      <c r="L29" s="327">
        <v>42</v>
      </c>
      <c r="M29" s="172"/>
      <c r="N29" s="347" t="s">
        <v>160</v>
      </c>
      <c r="O29" s="347">
        <v>30</v>
      </c>
      <c r="P29" s="347">
        <v>40</v>
      </c>
      <c r="Q29" s="172"/>
    </row>
    <row r="30" ht="18.75" customHeight="1" spans="1:17">
      <c r="A30" s="304">
        <v>28</v>
      </c>
      <c r="B30" s="305" t="s">
        <v>120</v>
      </c>
      <c r="C30" s="308">
        <v>55</v>
      </c>
      <c r="D30" s="308">
        <v>5000</v>
      </c>
      <c r="E30" s="308" t="s">
        <v>111</v>
      </c>
      <c r="F30" s="308"/>
      <c r="G30" s="308">
        <v>0</v>
      </c>
      <c r="H30" s="308" t="s">
        <v>161</v>
      </c>
      <c r="J30" s="327"/>
      <c r="K30" s="327"/>
      <c r="L30" s="328">
        <f>SUM(L25:L29)</f>
        <v>296</v>
      </c>
      <c r="M30" s="172"/>
      <c r="N30" s="347"/>
      <c r="O30" s="347"/>
      <c r="P30" s="348">
        <f>SUM(P25:P29)</f>
        <v>315</v>
      </c>
      <c r="Q30" s="172"/>
    </row>
    <row r="31" ht="18.75" customHeight="1" spans="1:17">
      <c r="A31" s="304">
        <v>29</v>
      </c>
      <c r="B31" s="305" t="s">
        <v>162</v>
      </c>
      <c r="C31" s="308">
        <v>54</v>
      </c>
      <c r="D31" s="308">
        <v>5000</v>
      </c>
      <c r="E31" s="308" t="s">
        <v>76</v>
      </c>
      <c r="F31" s="308" t="s">
        <v>89</v>
      </c>
      <c r="G31" s="308"/>
      <c r="H31" s="308"/>
      <c r="J31" s="329"/>
      <c r="K31" s="41"/>
      <c r="L31" s="330" t="s">
        <v>69</v>
      </c>
      <c r="M31" s="330" t="s">
        <v>79</v>
      </c>
      <c r="N31" s="349"/>
      <c r="O31" s="41"/>
      <c r="P31" s="350" t="s">
        <v>69</v>
      </c>
      <c r="Q31" s="351" t="s">
        <v>79</v>
      </c>
    </row>
    <row r="32" ht="18.75" customHeight="1" spans="1:17">
      <c r="A32" s="304">
        <v>30</v>
      </c>
      <c r="B32" s="305" t="s">
        <v>100</v>
      </c>
      <c r="C32" s="308">
        <v>53</v>
      </c>
      <c r="D32" s="308">
        <v>5300</v>
      </c>
      <c r="E32" s="308" t="s">
        <v>163</v>
      </c>
      <c r="F32" s="308" t="s">
        <v>127</v>
      </c>
      <c r="G32" s="308">
        <v>0</v>
      </c>
      <c r="H32" s="308" t="s">
        <v>164</v>
      </c>
      <c r="J32" s="330" t="s">
        <v>165</v>
      </c>
      <c r="K32" s="330">
        <v>375</v>
      </c>
      <c r="L32" s="330">
        <v>68</v>
      </c>
      <c r="M32" s="330">
        <f>K32-K33-K34-K35-K36</f>
        <v>5</v>
      </c>
      <c r="N32" s="350" t="s">
        <v>166</v>
      </c>
      <c r="O32" s="350">
        <v>380</v>
      </c>
      <c r="P32" s="350">
        <v>64</v>
      </c>
      <c r="Q32" s="350">
        <f>O32-O33-O34-O35-O36</f>
        <v>0</v>
      </c>
    </row>
    <row r="33" ht="18.75" customHeight="1" spans="1:17">
      <c r="A33" s="304">
        <v>31</v>
      </c>
      <c r="B33" s="305" t="s">
        <v>142</v>
      </c>
      <c r="C33" s="308">
        <v>52</v>
      </c>
      <c r="D33" s="308">
        <v>5800</v>
      </c>
      <c r="E33" s="308" t="s">
        <v>127</v>
      </c>
      <c r="F33" s="308" t="s">
        <v>81</v>
      </c>
      <c r="G33" s="308">
        <v>1</v>
      </c>
      <c r="H33" s="312" t="s">
        <v>167</v>
      </c>
      <c r="J33" s="330" t="s">
        <v>115</v>
      </c>
      <c r="K33" s="330">
        <v>105</v>
      </c>
      <c r="L33" s="330">
        <v>75</v>
      </c>
      <c r="M33" s="172"/>
      <c r="N33" s="350" t="s">
        <v>134</v>
      </c>
      <c r="O33" s="350">
        <v>85</v>
      </c>
      <c r="P33" s="350">
        <v>60</v>
      </c>
      <c r="Q33" s="172"/>
    </row>
    <row r="34" ht="18.75" customHeight="1" spans="1:17">
      <c r="A34" s="304">
        <v>32</v>
      </c>
      <c r="B34" s="305" t="s">
        <v>117</v>
      </c>
      <c r="C34" s="308">
        <v>50</v>
      </c>
      <c r="D34" s="308">
        <v>4900</v>
      </c>
      <c r="E34" s="308" t="s">
        <v>168</v>
      </c>
      <c r="F34" s="308" t="s">
        <v>136</v>
      </c>
      <c r="G34" s="308">
        <v>2</v>
      </c>
      <c r="H34" s="312" t="s">
        <v>169</v>
      </c>
      <c r="J34" s="330" t="s">
        <v>104</v>
      </c>
      <c r="K34" s="330">
        <v>170</v>
      </c>
      <c r="L34" s="330">
        <v>77</v>
      </c>
      <c r="M34" s="172"/>
      <c r="N34" s="350" t="s">
        <v>126</v>
      </c>
      <c r="O34" s="350">
        <v>125</v>
      </c>
      <c r="P34" s="350">
        <v>68</v>
      </c>
      <c r="Q34" s="172"/>
    </row>
    <row r="35" ht="18.75" customHeight="1" spans="1:17">
      <c r="A35" s="304">
        <v>33</v>
      </c>
      <c r="B35" s="305" t="s">
        <v>170</v>
      </c>
      <c r="C35" s="308">
        <v>50</v>
      </c>
      <c r="D35" s="308">
        <v>5000</v>
      </c>
      <c r="E35" s="308" t="s">
        <v>171</v>
      </c>
      <c r="F35" s="308"/>
      <c r="G35" s="308">
        <v>0</v>
      </c>
      <c r="H35" s="312" t="s">
        <v>172</v>
      </c>
      <c r="J35" s="330" t="s">
        <v>154</v>
      </c>
      <c r="K35" s="330">
        <v>40</v>
      </c>
      <c r="L35" s="330">
        <v>55</v>
      </c>
      <c r="M35" s="172"/>
      <c r="N35" s="350" t="s">
        <v>147</v>
      </c>
      <c r="O35" s="350">
        <v>95</v>
      </c>
      <c r="P35" s="350">
        <v>59</v>
      </c>
      <c r="Q35" s="172"/>
    </row>
    <row r="36" ht="18.75" customHeight="1" spans="1:17">
      <c r="A36" s="304">
        <v>34</v>
      </c>
      <c r="B36" s="305" t="s">
        <v>138</v>
      </c>
      <c r="C36" s="308">
        <v>50</v>
      </c>
      <c r="D36" s="308">
        <v>5000</v>
      </c>
      <c r="E36" s="308" t="s">
        <v>81</v>
      </c>
      <c r="F36" s="308" t="s">
        <v>76</v>
      </c>
      <c r="G36" s="308">
        <v>0</v>
      </c>
      <c r="H36" s="308" t="s">
        <v>173</v>
      </c>
      <c r="J36" s="330" t="s">
        <v>174</v>
      </c>
      <c r="K36" s="330">
        <v>55</v>
      </c>
      <c r="L36" s="330">
        <v>30</v>
      </c>
      <c r="M36" s="172"/>
      <c r="N36" s="350" t="s">
        <v>170</v>
      </c>
      <c r="O36" s="350">
        <v>75</v>
      </c>
      <c r="P36" s="350">
        <v>50</v>
      </c>
      <c r="Q36" s="172"/>
    </row>
    <row r="37" ht="18.75" customHeight="1" spans="1:17">
      <c r="A37" s="304">
        <v>35</v>
      </c>
      <c r="B37" s="305" t="s">
        <v>124</v>
      </c>
      <c r="C37" s="308">
        <v>45</v>
      </c>
      <c r="D37" s="308">
        <v>4990</v>
      </c>
      <c r="E37" s="308" t="s">
        <v>135</v>
      </c>
      <c r="F37" s="308" t="s">
        <v>175</v>
      </c>
      <c r="G37" s="308">
        <v>2</v>
      </c>
      <c r="H37" s="308" t="s">
        <v>176</v>
      </c>
      <c r="J37" s="330"/>
      <c r="K37" s="330"/>
      <c r="L37" s="331">
        <f>SUM(L32:L36)</f>
        <v>305</v>
      </c>
      <c r="M37" s="172"/>
      <c r="N37" s="351"/>
      <c r="O37" s="351"/>
      <c r="P37" s="352">
        <f>SUM(P32:P36)</f>
        <v>301</v>
      </c>
      <c r="Q37" s="172"/>
    </row>
    <row r="38" ht="18.75" customHeight="1" spans="1:17">
      <c r="A38" s="304">
        <v>36</v>
      </c>
      <c r="B38" s="305" t="s">
        <v>95</v>
      </c>
      <c r="C38" s="308">
        <v>45</v>
      </c>
      <c r="D38" s="308">
        <v>4500</v>
      </c>
      <c r="E38" s="308" t="s">
        <v>97</v>
      </c>
      <c r="F38" s="308" t="s">
        <v>89</v>
      </c>
      <c r="G38" s="308">
        <v>0</v>
      </c>
      <c r="H38" s="312" t="s">
        <v>177</v>
      </c>
      <c r="J38" s="319"/>
      <c r="K38" s="41"/>
      <c r="L38" s="318" t="s">
        <v>69</v>
      </c>
      <c r="M38" s="318" t="s">
        <v>79</v>
      </c>
      <c r="N38" s="353"/>
      <c r="O38" s="41"/>
      <c r="P38" s="354" t="s">
        <v>69</v>
      </c>
      <c r="Q38" s="354" t="s">
        <v>79</v>
      </c>
    </row>
    <row r="39" ht="18.75" customHeight="1" spans="1:17">
      <c r="A39" s="304">
        <v>37</v>
      </c>
      <c r="B39" s="305" t="s">
        <v>123</v>
      </c>
      <c r="C39" s="309">
        <v>44</v>
      </c>
      <c r="D39" s="309">
        <v>4500</v>
      </c>
      <c r="E39" s="309" t="s">
        <v>81</v>
      </c>
      <c r="F39" s="309" t="s">
        <v>76</v>
      </c>
      <c r="G39" s="309">
        <v>0</v>
      </c>
      <c r="H39" s="309" t="s">
        <v>178</v>
      </c>
      <c r="J39" s="318" t="s">
        <v>179</v>
      </c>
      <c r="K39" s="318">
        <v>430</v>
      </c>
      <c r="L39" s="318">
        <v>34</v>
      </c>
      <c r="M39" s="318">
        <f>K39-K40-K41-K42-K43</f>
        <v>0</v>
      </c>
      <c r="N39" s="354" t="s">
        <v>180</v>
      </c>
      <c r="O39" s="354">
        <v>435</v>
      </c>
      <c r="P39" s="354">
        <v>30</v>
      </c>
      <c r="Q39" s="354">
        <f>O39-O40-O41-O42-O43</f>
        <v>0</v>
      </c>
    </row>
    <row r="40" ht="18.75" customHeight="1" spans="1:17">
      <c r="A40" s="304">
        <v>38</v>
      </c>
      <c r="B40" s="305" t="s">
        <v>99</v>
      </c>
      <c r="C40" s="309">
        <v>44</v>
      </c>
      <c r="D40" s="309">
        <v>3800</v>
      </c>
      <c r="E40" s="309" t="s">
        <v>136</v>
      </c>
      <c r="F40" s="309" t="s">
        <v>135</v>
      </c>
      <c r="G40" s="309">
        <v>2</v>
      </c>
      <c r="H40" s="309" t="s">
        <v>181</v>
      </c>
      <c r="J40" s="318" t="s">
        <v>75</v>
      </c>
      <c r="K40" s="318">
        <v>195</v>
      </c>
      <c r="L40" s="318">
        <v>88</v>
      </c>
      <c r="M40" s="172"/>
      <c r="N40" s="354" t="s">
        <v>96</v>
      </c>
      <c r="O40" s="354">
        <v>160</v>
      </c>
      <c r="P40" s="354">
        <v>81</v>
      </c>
      <c r="Q40" s="172"/>
    </row>
    <row r="41" ht="18.75" customHeight="1" spans="1:17">
      <c r="A41" s="304">
        <v>39</v>
      </c>
      <c r="B41" s="305" t="s">
        <v>159</v>
      </c>
      <c r="C41" s="309">
        <v>42</v>
      </c>
      <c r="D41" s="309">
        <v>3900</v>
      </c>
      <c r="E41" s="309" t="s">
        <v>182</v>
      </c>
      <c r="F41" s="309" t="s">
        <v>81</v>
      </c>
      <c r="G41" s="309">
        <v>0</v>
      </c>
      <c r="H41" s="309" t="s">
        <v>183</v>
      </c>
      <c r="J41" s="318" t="s">
        <v>109</v>
      </c>
      <c r="K41" s="318">
        <v>170</v>
      </c>
      <c r="L41" s="318">
        <v>76</v>
      </c>
      <c r="M41" s="172"/>
      <c r="N41" s="354" t="s">
        <v>88</v>
      </c>
      <c r="O41" s="354">
        <v>185</v>
      </c>
      <c r="P41" s="354">
        <v>83</v>
      </c>
      <c r="Q41" s="172"/>
    </row>
    <row r="42" ht="18.75" customHeight="1" spans="1:17">
      <c r="A42" s="304">
        <v>40</v>
      </c>
      <c r="B42" s="305" t="s">
        <v>184</v>
      </c>
      <c r="C42" s="309">
        <v>40</v>
      </c>
      <c r="D42" s="309">
        <v>3000</v>
      </c>
      <c r="E42" s="309" t="s">
        <v>111</v>
      </c>
      <c r="F42" s="309" t="s">
        <v>81</v>
      </c>
      <c r="G42" s="309">
        <v>1</v>
      </c>
      <c r="H42" s="309" t="s">
        <v>185</v>
      </c>
      <c r="J42" s="318" t="s">
        <v>184</v>
      </c>
      <c r="K42" s="318">
        <v>35</v>
      </c>
      <c r="L42" s="318">
        <v>40</v>
      </c>
      <c r="N42" s="354" t="s">
        <v>162</v>
      </c>
      <c r="O42" s="354">
        <v>55</v>
      </c>
      <c r="P42" s="354">
        <v>54</v>
      </c>
      <c r="Q42" s="172"/>
    </row>
    <row r="43" ht="18.75" customHeight="1" spans="1:17">
      <c r="A43" s="304">
        <v>41</v>
      </c>
      <c r="B43" s="305" t="s">
        <v>160</v>
      </c>
      <c r="C43" s="309">
        <v>40</v>
      </c>
      <c r="D43" s="309">
        <v>4000</v>
      </c>
      <c r="E43" s="309" t="s">
        <v>171</v>
      </c>
      <c r="F43" s="309"/>
      <c r="G43" s="309">
        <v>0</v>
      </c>
      <c r="H43" s="309" t="s">
        <v>186</v>
      </c>
      <c r="J43" s="318" t="s">
        <v>187</v>
      </c>
      <c r="K43" s="318">
        <v>30</v>
      </c>
      <c r="L43" s="318">
        <v>28</v>
      </c>
      <c r="M43" s="172"/>
      <c r="N43" s="354" t="s">
        <v>188</v>
      </c>
      <c r="O43" s="354">
        <v>35</v>
      </c>
      <c r="P43" s="354">
        <v>32</v>
      </c>
      <c r="Q43" s="172"/>
    </row>
    <row r="44" ht="18.75" customHeight="1" spans="1:17">
      <c r="A44" s="304">
        <v>42</v>
      </c>
      <c r="B44" s="305" t="s">
        <v>157</v>
      </c>
      <c r="C44" s="309">
        <v>34</v>
      </c>
      <c r="D44" s="309">
        <v>3400</v>
      </c>
      <c r="E44" s="309" t="s">
        <v>89</v>
      </c>
      <c r="F44" s="309" t="s">
        <v>135</v>
      </c>
      <c r="G44" s="309">
        <v>0</v>
      </c>
      <c r="H44" s="309" t="s">
        <v>189</v>
      </c>
      <c r="J44" s="318"/>
      <c r="K44" s="318"/>
      <c r="L44" s="320">
        <f>SUM(L39:L43)</f>
        <v>266</v>
      </c>
      <c r="M44" s="172"/>
      <c r="N44" s="354"/>
      <c r="O44" s="354"/>
      <c r="P44" s="355">
        <f>SUM(P39:P43)</f>
        <v>280</v>
      </c>
      <c r="Q44" s="172"/>
    </row>
    <row r="45" ht="18.75" customHeight="1" spans="1:8">
      <c r="A45" s="304">
        <v>43</v>
      </c>
      <c r="B45" s="309" t="s">
        <v>144</v>
      </c>
      <c r="C45" s="309">
        <v>33</v>
      </c>
      <c r="D45" s="309">
        <v>3300</v>
      </c>
      <c r="E45" s="309" t="s">
        <v>190</v>
      </c>
      <c r="F45" s="309" t="s">
        <v>135</v>
      </c>
      <c r="G45" s="309">
        <v>0</v>
      </c>
      <c r="H45" s="309" t="s">
        <v>191</v>
      </c>
    </row>
    <row r="46" ht="18.75" customHeight="1" spans="1:8">
      <c r="A46" s="304">
        <v>44</v>
      </c>
      <c r="B46" s="305" t="s">
        <v>188</v>
      </c>
      <c r="C46" s="309">
        <v>32</v>
      </c>
      <c r="D46" s="309">
        <v>3200</v>
      </c>
      <c r="E46" s="309" t="s">
        <v>135</v>
      </c>
      <c r="F46" s="309"/>
      <c r="G46" s="309">
        <v>0</v>
      </c>
      <c r="H46" s="309" t="s">
        <v>192</v>
      </c>
    </row>
    <row r="47" ht="18.75" customHeight="1" spans="1:8">
      <c r="A47" s="304">
        <v>45</v>
      </c>
      <c r="B47" s="305" t="s">
        <v>94</v>
      </c>
      <c r="C47" s="309">
        <v>30</v>
      </c>
      <c r="D47" s="309">
        <v>3000</v>
      </c>
      <c r="E47" s="309" t="s">
        <v>111</v>
      </c>
      <c r="F47" s="309"/>
      <c r="G47" s="309">
        <v>0</v>
      </c>
      <c r="H47" s="309" t="s">
        <v>193</v>
      </c>
    </row>
    <row r="48" ht="18.75" customHeight="1" spans="1:8">
      <c r="A48" s="304">
        <v>46</v>
      </c>
      <c r="B48" s="305" t="s">
        <v>174</v>
      </c>
      <c r="C48" s="309">
        <v>30</v>
      </c>
      <c r="D48" s="309">
        <v>3646</v>
      </c>
      <c r="E48" s="309" t="s">
        <v>135</v>
      </c>
      <c r="F48" s="309" t="s">
        <v>89</v>
      </c>
      <c r="G48" s="309">
        <v>0</v>
      </c>
      <c r="H48" s="309" t="s">
        <v>194</v>
      </c>
    </row>
    <row r="49" ht="18.75" customHeight="1" spans="1:8">
      <c r="A49" s="304">
        <v>47</v>
      </c>
      <c r="B49" s="310" t="s">
        <v>187</v>
      </c>
      <c r="C49" s="309">
        <v>28</v>
      </c>
      <c r="D49" s="309">
        <v>2900</v>
      </c>
      <c r="E49" s="309" t="s">
        <v>195</v>
      </c>
      <c r="F49" s="309"/>
      <c r="G49" s="309">
        <v>0</v>
      </c>
      <c r="H49" s="309" t="s">
        <v>196</v>
      </c>
    </row>
    <row r="50" ht="18.75" customHeight="1" spans="1:8">
      <c r="A50" s="304">
        <v>48</v>
      </c>
      <c r="B50" s="305" t="s">
        <v>143</v>
      </c>
      <c r="C50" s="309">
        <v>28</v>
      </c>
      <c r="D50" s="309">
        <v>2000</v>
      </c>
      <c r="E50" s="309" t="s">
        <v>135</v>
      </c>
      <c r="F50" s="309" t="s">
        <v>197</v>
      </c>
      <c r="G50" s="309">
        <v>2</v>
      </c>
      <c r="H50" s="309" t="s">
        <v>198</v>
      </c>
    </row>
    <row r="51" ht="15.75" customHeight="1"/>
    <row r="52" ht="15.75" customHeight="1"/>
    <row r="53" ht="15.75" customHeight="1" spans="1:8">
      <c r="A53" s="172"/>
      <c r="B53" s="172"/>
      <c r="C53" s="172"/>
      <c r="D53" s="172"/>
      <c r="E53" s="172"/>
      <c r="F53" s="172"/>
      <c r="G53" s="172"/>
      <c r="H53" s="172"/>
    </row>
    <row r="54" ht="15.75" customHeight="1" spans="1:8">
      <c r="A54" s="172"/>
      <c r="B54" s="172"/>
      <c r="C54" s="172"/>
      <c r="D54" s="172"/>
      <c r="E54" s="172"/>
      <c r="F54" s="172"/>
      <c r="G54" s="172"/>
      <c r="H54" s="172"/>
    </row>
    <row r="55" ht="15.75" customHeight="1" spans="1:8">
      <c r="A55" s="172"/>
      <c r="B55" s="172"/>
      <c r="C55" s="172"/>
      <c r="D55" s="172"/>
      <c r="E55" s="172"/>
      <c r="F55" s="172"/>
      <c r="G55" s="172"/>
      <c r="H55" s="172"/>
    </row>
    <row r="56" ht="15.75" customHeight="1" spans="1:8">
      <c r="A56" s="172"/>
      <c r="B56" s="172"/>
      <c r="C56" s="172"/>
      <c r="D56" s="172"/>
      <c r="E56" s="172"/>
      <c r="F56" s="172"/>
      <c r="G56" s="172"/>
      <c r="H56" s="172"/>
    </row>
    <row r="57" ht="15.75" customHeight="1" spans="1:8">
      <c r="A57" s="172"/>
      <c r="B57" s="172"/>
      <c r="C57" s="172"/>
      <c r="D57" s="172"/>
      <c r="E57" s="172"/>
      <c r="F57" s="172"/>
      <c r="G57" s="172"/>
      <c r="H57" s="172"/>
    </row>
    <row r="58" ht="15.75" customHeight="1" spans="1:8">
      <c r="A58" s="172"/>
      <c r="B58" s="172"/>
      <c r="C58" s="172"/>
      <c r="D58" s="172"/>
      <c r="E58" s="172"/>
      <c r="F58" s="172"/>
      <c r="G58" s="172"/>
      <c r="H58" s="172"/>
    </row>
    <row r="59" ht="15.75" customHeight="1" spans="1:8">
      <c r="A59" s="172"/>
      <c r="B59" s="172"/>
      <c r="C59" s="172"/>
      <c r="D59" s="172"/>
      <c r="E59" s="172"/>
      <c r="F59" s="172"/>
      <c r="G59" s="172"/>
      <c r="H59" s="172"/>
    </row>
    <row r="60" ht="15.75" customHeight="1" spans="1:8">
      <c r="A60" s="172"/>
      <c r="B60" s="172"/>
      <c r="C60" s="172"/>
      <c r="D60" s="172"/>
      <c r="E60" s="172"/>
      <c r="F60" s="172"/>
      <c r="G60" s="172"/>
      <c r="H60" s="172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</sheetData>
  <mergeCells count="14">
    <mergeCell ref="A1:H1"/>
    <mergeCell ref="K2:M2"/>
    <mergeCell ref="J3:K3"/>
    <mergeCell ref="N3:O3"/>
    <mergeCell ref="J10:K10"/>
    <mergeCell ref="N10:O10"/>
    <mergeCell ref="J17:K17"/>
    <mergeCell ref="N17:O17"/>
    <mergeCell ref="J24:K24"/>
    <mergeCell ref="N24:O24"/>
    <mergeCell ref="J31:K31"/>
    <mergeCell ref="N31:O31"/>
    <mergeCell ref="J38:K38"/>
    <mergeCell ref="N38:O38"/>
  </mergeCells>
  <conditionalFormatting sqref="C2:C5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list" showInputMessage="1" showErrorMessage="1" sqref="O1">
      <formula1>"位置,一,二,三,四,五,"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微雨杯比赛规则">
    <tabColor rgb="FFFFBA84"/>
  </sheetPr>
  <dimension ref="A1:I193"/>
  <sheetViews>
    <sheetView workbookViewId="0">
      <selection activeCell="A1" sqref="A1"/>
    </sheetView>
  </sheetViews>
  <sheetFormatPr defaultColWidth="14" defaultRowHeight="18" customHeight="1"/>
  <cols>
    <col min="1" max="5" width="3.3671875" style="58" customWidth="1"/>
    <col min="6" max="6" width="15.5078125" style="58" customWidth="1"/>
    <col min="7" max="7" width="53.4140625" style="58" customWidth="1"/>
    <col min="8" max="8" width="21.7109375" style="58" customWidth="1"/>
    <col min="9" max="9" width="16.7265625" style="58" customWidth="1"/>
    <col min="10" max="30" width="13.671875" style="58"/>
  </cols>
  <sheetData>
    <row r="1" ht="33" customHeight="1" spans="1:9">
      <c r="A1" s="279"/>
      <c r="B1" s="279"/>
      <c r="C1" s="279"/>
      <c r="D1" s="279"/>
      <c r="E1" s="279"/>
      <c r="F1" s="279" t="s">
        <v>199</v>
      </c>
      <c r="G1"/>
      <c r="H1"/>
      <c r="I1"/>
    </row>
    <row r="2" ht="33" customHeight="1" spans="1:9">
      <c r="A2" s="280"/>
      <c r="B2" s="280"/>
      <c r="C2" s="280"/>
      <c r="D2" s="280"/>
      <c r="E2" s="280"/>
      <c r="F2" s="285" t="s">
        <v>200</v>
      </c>
      <c r="G2" s="41"/>
      <c r="H2" s="41"/>
      <c r="I2" s="41"/>
    </row>
    <row r="3" ht="74.25" customHeight="1" spans="1:9">
      <c r="A3" s="280"/>
      <c r="B3" s="280"/>
      <c r="C3" s="280"/>
      <c r="D3" s="280"/>
      <c r="E3" s="280"/>
      <c r="F3" s="41"/>
      <c r="G3" s="41"/>
      <c r="H3" s="41"/>
      <c r="I3" s="41"/>
    </row>
    <row r="4" customHeight="1" spans="1:9">
      <c r="A4" s="281"/>
      <c r="B4" s="281"/>
      <c r="C4" s="281"/>
      <c r="D4" s="281"/>
      <c r="E4" s="281"/>
      <c r="F4" s="286" t="s">
        <v>201</v>
      </c>
      <c r="G4" s="186"/>
      <c r="H4" s="287" t="s">
        <v>202</v>
      </c>
      <c r="I4" s="287" t="s">
        <v>203</v>
      </c>
    </row>
    <row r="5" ht="33" customHeight="1" spans="1:9">
      <c r="A5" s="282"/>
      <c r="B5" s="282"/>
      <c r="C5" s="282"/>
      <c r="D5" s="282"/>
      <c r="E5" s="282"/>
      <c r="F5" s="288" t="s">
        <v>204</v>
      </c>
      <c r="G5" s="289" t="s">
        <v>205</v>
      </c>
      <c r="H5" s="290" t="s">
        <v>206</v>
      </c>
      <c r="I5" s="85" t="s">
        <v>207</v>
      </c>
    </row>
    <row r="6" ht="33" customHeight="1" spans="1:9">
      <c r="A6" s="282"/>
      <c r="B6" s="282"/>
      <c r="C6" s="282"/>
      <c r="D6" s="282"/>
      <c r="E6" s="282"/>
      <c r="F6" s="291" t="s">
        <v>208</v>
      </c>
      <c r="G6" s="150" t="s">
        <v>209</v>
      </c>
      <c r="H6" s="290" t="s">
        <v>210</v>
      </c>
      <c r="I6" s="85"/>
    </row>
    <row r="7" ht="33" customHeight="1" spans="1:9">
      <c r="A7" s="283"/>
      <c r="B7" s="283"/>
      <c r="C7" s="283"/>
      <c r="D7" s="283"/>
      <c r="E7" s="283"/>
      <c r="F7" s="291" t="s">
        <v>211</v>
      </c>
      <c r="G7" s="150" t="s">
        <v>212</v>
      </c>
      <c r="H7" s="290" t="s">
        <v>213</v>
      </c>
      <c r="I7" s="85"/>
    </row>
    <row r="8" ht="33" customHeight="1" spans="1:9">
      <c r="A8" s="282"/>
      <c r="B8" s="282"/>
      <c r="C8" s="282"/>
      <c r="D8" s="282"/>
      <c r="E8" s="282"/>
      <c r="F8" s="291"/>
      <c r="G8" s="150" t="s">
        <v>214</v>
      </c>
      <c r="H8" s="290"/>
      <c r="I8" s="85"/>
    </row>
    <row r="9" ht="33" customHeight="1" spans="1:9">
      <c r="A9" s="282"/>
      <c r="B9" s="282"/>
      <c r="C9" s="282"/>
      <c r="D9" s="282"/>
      <c r="E9" s="282"/>
      <c r="F9" s="291" t="s">
        <v>215</v>
      </c>
      <c r="G9" s="150" t="s">
        <v>216</v>
      </c>
      <c r="H9" s="290"/>
      <c r="I9" s="85"/>
    </row>
    <row r="10" ht="33" customHeight="1" spans="1:9">
      <c r="A10" s="282"/>
      <c r="B10" s="282"/>
      <c r="C10" s="282"/>
      <c r="D10" s="282"/>
      <c r="E10" s="282"/>
      <c r="F10" s="291"/>
      <c r="G10" s="150" t="s">
        <v>217</v>
      </c>
      <c r="H10" s="290"/>
      <c r="I10" s="85"/>
    </row>
    <row r="11" ht="33" customHeight="1" spans="1:9">
      <c r="A11" s="282"/>
      <c r="B11" s="282"/>
      <c r="C11" s="282"/>
      <c r="D11" s="282"/>
      <c r="E11" s="282"/>
      <c r="F11" s="292" t="s">
        <v>218</v>
      </c>
      <c r="G11" s="293" t="s">
        <v>219</v>
      </c>
      <c r="H11" s="290"/>
      <c r="I11" s="85"/>
    </row>
    <row r="12" ht="33" customHeight="1" spans="1:9">
      <c r="A12" s="284"/>
      <c r="B12" s="284"/>
      <c r="C12" s="284"/>
      <c r="D12" s="284"/>
      <c r="E12" s="284"/>
      <c r="F12" s="294" t="s">
        <v>220</v>
      </c>
      <c r="G12" s="295"/>
      <c r="H12" s="296"/>
      <c r="I12" s="300"/>
    </row>
    <row r="13" ht="33" customHeight="1" spans="1:9">
      <c r="A13" s="283"/>
      <c r="B13" s="283"/>
      <c r="C13" s="283"/>
      <c r="D13" s="283"/>
      <c r="E13" s="283"/>
      <c r="F13" s="297" t="s">
        <v>221</v>
      </c>
      <c r="G13" s="105"/>
      <c r="H13" s="105"/>
      <c r="I13" s="105"/>
    </row>
    <row r="14" ht="33" customHeight="1" spans="1:9">
      <c r="A14" s="282"/>
      <c r="B14" s="282"/>
      <c r="C14" s="282"/>
      <c r="D14" s="282"/>
      <c r="E14" s="282"/>
      <c r="F14" s="298" t="s">
        <v>222</v>
      </c>
      <c r="G14" s="105"/>
      <c r="H14" s="105"/>
      <c r="I14" s="105"/>
    </row>
    <row r="15" ht="33" customHeight="1" spans="1:9">
      <c r="A15" s="282"/>
      <c r="B15" s="282"/>
      <c r="C15" s="282"/>
      <c r="D15" s="282"/>
      <c r="E15" s="282"/>
      <c r="F15" s="299" t="s">
        <v>223</v>
      </c>
      <c r="G15" s="106"/>
      <c r="H15" s="106"/>
      <c r="I15" s="106"/>
    </row>
    <row r="16" ht="33" customHeight="1"/>
    <row r="17" ht="33" customHeight="1"/>
    <row r="18" ht="33" customHeight="1"/>
    <row r="19" ht="33" customHeight="1"/>
    <row r="20" ht="33" customHeight="1"/>
    <row r="21" ht="33" customHeight="1"/>
    <row r="22" ht="33" customHeight="1"/>
    <row r="23" ht="33" customHeight="1"/>
    <row r="24" ht="33" customHeight="1"/>
    <row r="25" ht="33" customHeight="1"/>
    <row r="26" ht="33" customHeight="1"/>
    <row r="27" ht="33" customHeight="1"/>
    <row r="28" ht="33" customHeight="1"/>
    <row r="29" ht="33" customHeight="1"/>
    <row r="30" ht="33" customHeight="1"/>
    <row r="31" ht="33" customHeight="1"/>
    <row r="32" ht="33" customHeight="1"/>
    <row r="33" ht="33" customHeight="1"/>
    <row r="34" ht="33" customHeight="1"/>
    <row r="35" ht="33" customHeight="1"/>
    <row r="36" ht="33" customHeight="1"/>
    <row r="37" ht="33" customHeight="1"/>
    <row r="38" ht="33" customHeight="1"/>
    <row r="39" ht="33" customHeight="1"/>
    <row r="40" ht="33" customHeight="1"/>
    <row r="41" ht="33" customHeight="1"/>
    <row r="42" ht="33" customHeight="1"/>
    <row r="43" ht="33" customHeight="1"/>
    <row r="44" ht="33" customHeight="1"/>
    <row r="45" ht="33" customHeight="1"/>
    <row r="46" ht="33" customHeight="1"/>
    <row r="47" ht="33" customHeight="1"/>
    <row r="48" ht="33" customHeight="1"/>
    <row r="49" ht="33" customHeight="1"/>
    <row r="50" ht="33" customHeight="1"/>
    <row r="51" ht="33" customHeight="1"/>
    <row r="52" ht="33" customHeight="1"/>
    <row r="53" ht="33" customHeight="1"/>
    <row r="54" ht="33" customHeight="1"/>
    <row r="55" ht="33" customHeight="1"/>
    <row r="56" ht="33" customHeight="1"/>
    <row r="57" ht="33" customHeight="1"/>
    <row r="58" ht="33" customHeight="1"/>
    <row r="59" ht="33" customHeight="1"/>
    <row r="60" ht="33" customHeight="1"/>
    <row r="61" ht="33" customHeight="1"/>
    <row r="62" ht="33" customHeight="1"/>
    <row r="63" ht="33" customHeight="1"/>
    <row r="64" ht="33" customHeight="1"/>
    <row r="65" ht="33" customHeight="1"/>
    <row r="66" ht="33" customHeight="1"/>
    <row r="67" ht="33" customHeight="1"/>
    <row r="68" ht="33" customHeight="1"/>
    <row r="69" ht="33" customHeight="1"/>
    <row r="70" ht="33" customHeight="1"/>
    <row r="71" ht="33" customHeight="1"/>
    <row r="72" ht="33" customHeight="1"/>
    <row r="73" ht="33" customHeight="1"/>
    <row r="74" ht="33" customHeight="1"/>
    <row r="75" ht="33" customHeight="1"/>
    <row r="76" ht="33" customHeight="1"/>
    <row r="77" ht="33" customHeight="1"/>
    <row r="78" ht="33" customHeight="1"/>
    <row r="79" ht="33" customHeight="1"/>
    <row r="80" ht="33" customHeight="1"/>
    <row r="81" ht="33" customHeight="1"/>
    <row r="82" ht="33" customHeight="1"/>
    <row r="83" ht="33" customHeight="1"/>
    <row r="84" ht="33" customHeight="1"/>
    <row r="85" ht="33" customHeight="1"/>
    <row r="86" ht="33" customHeight="1"/>
    <row r="87" ht="33" customHeight="1"/>
    <row r="88" ht="33" customHeight="1"/>
    <row r="89" ht="33" customHeight="1"/>
    <row r="90" ht="33" customHeight="1"/>
    <row r="91" ht="33" customHeight="1"/>
    <row r="92" ht="33" customHeight="1"/>
    <row r="93" ht="33" customHeight="1"/>
    <row r="94" ht="33" customHeight="1"/>
    <row r="95" ht="33" customHeight="1"/>
    <row r="96" ht="33" customHeight="1"/>
    <row r="97" ht="33" customHeight="1"/>
    <row r="98" ht="33" customHeight="1"/>
    <row r="99" ht="33" customHeight="1"/>
    <row r="100" ht="33" customHeight="1"/>
    <row r="101" ht="33" customHeight="1"/>
    <row r="102" ht="33" customHeight="1"/>
    <row r="103" ht="33" customHeight="1"/>
    <row r="104" ht="33" customHeight="1"/>
    <row r="105" ht="33" customHeight="1"/>
    <row r="106" ht="33" customHeight="1"/>
    <row r="107" ht="33" customHeight="1"/>
    <row r="108" ht="33" customHeight="1"/>
    <row r="109" ht="33" customHeight="1"/>
    <row r="110" ht="33" customHeight="1"/>
    <row r="111" ht="33" customHeight="1"/>
    <row r="112" ht="33" customHeight="1"/>
    <row r="113" ht="33" customHeight="1"/>
    <row r="114" ht="33" customHeight="1"/>
    <row r="115" ht="33" customHeight="1"/>
    <row r="116" ht="33" customHeight="1"/>
    <row r="117" ht="33" customHeight="1"/>
    <row r="118" ht="33" customHeight="1"/>
    <row r="119" ht="33" customHeight="1"/>
    <row r="120" ht="33" customHeight="1"/>
    <row r="121" ht="33" customHeight="1"/>
    <row r="122" ht="33" customHeight="1"/>
    <row r="123" ht="33" customHeight="1"/>
    <row r="124" ht="33" customHeight="1"/>
    <row r="125" ht="33" customHeight="1"/>
    <row r="126" ht="33" customHeight="1"/>
    <row r="127" ht="33" customHeight="1"/>
    <row r="128" ht="33" customHeight="1"/>
    <row r="129" ht="33" customHeight="1"/>
    <row r="130" ht="33" customHeight="1"/>
    <row r="131" ht="33" customHeight="1"/>
    <row r="132" ht="33" customHeight="1"/>
    <row r="133" ht="33" customHeight="1"/>
    <row r="134" ht="33" customHeight="1"/>
    <row r="135" ht="33" customHeight="1"/>
    <row r="136" ht="33" customHeight="1"/>
    <row r="137" ht="33" customHeight="1"/>
    <row r="138" ht="33" customHeight="1"/>
    <row r="139" ht="33" customHeight="1"/>
    <row r="140" ht="33" customHeight="1"/>
    <row r="141" ht="33" customHeight="1"/>
    <row r="142" ht="33" customHeight="1"/>
    <row r="143" ht="33" customHeight="1"/>
    <row r="144" ht="33" customHeight="1"/>
    <row r="145" ht="33" customHeight="1"/>
    <row r="146" ht="33" customHeight="1"/>
    <row r="147" ht="33" customHeight="1"/>
    <row r="148" ht="33" customHeight="1"/>
    <row r="149" ht="33" customHeight="1"/>
    <row r="150" ht="33" customHeight="1"/>
    <row r="151" ht="33" customHeight="1"/>
    <row r="152" ht="33" customHeight="1"/>
    <row r="153" ht="33" customHeight="1"/>
    <row r="154" ht="33" customHeight="1"/>
    <row r="155" ht="33" customHeight="1"/>
    <row r="156" ht="33" customHeight="1"/>
    <row r="157" ht="33" customHeight="1"/>
    <row r="158" ht="33" customHeight="1"/>
    <row r="159" ht="33" customHeight="1"/>
    <row r="160" ht="33" customHeight="1"/>
    <row r="161" ht="33" customHeight="1"/>
    <row r="162" ht="33" customHeight="1"/>
    <row r="163" ht="33" customHeight="1"/>
    <row r="164" ht="33" customHeight="1"/>
    <row r="165" ht="33" customHeight="1"/>
    <row r="166" ht="33" customHeight="1"/>
    <row r="167" ht="33" customHeight="1"/>
    <row r="168" ht="33" customHeight="1"/>
    <row r="169" ht="33" customHeight="1"/>
    <row r="170" ht="33" customHeight="1"/>
    <row r="171" ht="33" customHeight="1"/>
    <row r="172" ht="33" customHeight="1"/>
    <row r="173" ht="33" customHeight="1"/>
    <row r="174" ht="33" customHeight="1"/>
    <row r="175" ht="33" customHeight="1"/>
    <row r="176" ht="33" customHeight="1"/>
    <row r="177" ht="33" customHeight="1"/>
    <row r="178" ht="33" customHeight="1"/>
    <row r="179" ht="33" customHeight="1"/>
    <row r="180" ht="33" customHeight="1"/>
    <row r="181" ht="33" customHeight="1"/>
    <row r="182" ht="33" customHeight="1"/>
    <row r="183" ht="33" customHeight="1"/>
    <row r="184" ht="33" customHeight="1"/>
    <row r="185" ht="33" customHeight="1"/>
    <row r="186" ht="33" customHeight="1"/>
    <row r="187" ht="33" customHeight="1"/>
    <row r="188" ht="33" customHeight="1"/>
    <row r="189" ht="33" customHeight="1"/>
    <row r="190" ht="33" customHeight="1"/>
    <row r="191" ht="33" customHeight="1"/>
    <row r="192" ht="33" customHeight="1"/>
    <row r="193" ht="33" customHeight="1"/>
  </sheetData>
  <mergeCells count="7">
    <mergeCell ref="F1:I1"/>
    <mergeCell ref="F4:G4"/>
    <mergeCell ref="F12:G12"/>
    <mergeCell ref="F13:I13"/>
    <mergeCell ref="F14:I14"/>
    <mergeCell ref="F15:I15"/>
    <mergeCell ref="F2:I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2名单">
    <tabColor rgb="FF0070C0"/>
  </sheetPr>
  <dimension ref="A1:AB187"/>
  <sheetViews>
    <sheetView tabSelected="1" topLeftCell="A6" workbookViewId="0">
      <selection activeCell="K19" sqref="K19"/>
    </sheetView>
  </sheetViews>
  <sheetFormatPr defaultColWidth="14" defaultRowHeight="18" customHeight="1"/>
  <cols>
    <col min="1" max="1" width="6.609375" style="269" customWidth="1"/>
    <col min="2" max="2" width="17.8046875" style="269" customWidth="1"/>
    <col min="3" max="3" width="16.59375" style="269" customWidth="1"/>
    <col min="4" max="4" width="11.875" style="269" customWidth="1"/>
    <col min="5" max="5" width="9.578125" style="269" customWidth="1"/>
    <col min="6" max="6" width="13.2109375" style="269" customWidth="1"/>
    <col min="7" max="7" width="13.890625" style="269" customWidth="1"/>
    <col min="8" max="8" width="57.1875" style="269" customWidth="1"/>
    <col min="9" max="28" width="13.671875" style="269"/>
  </cols>
  <sheetData>
    <row r="1" ht="23.25" customHeight="1" spans="1:8">
      <c r="A1" s="270" t="s">
        <v>224</v>
      </c>
      <c r="B1" s="270" t="s">
        <v>68</v>
      </c>
      <c r="C1" s="270" t="s">
        <v>225</v>
      </c>
      <c r="D1" s="270" t="s">
        <v>69</v>
      </c>
      <c r="E1" s="270" t="s">
        <v>70</v>
      </c>
      <c r="F1" s="270" t="s">
        <v>226</v>
      </c>
      <c r="G1" s="270" t="s">
        <v>227</v>
      </c>
      <c r="H1" s="270" t="s">
        <v>74</v>
      </c>
    </row>
    <row r="2" ht="23.25" customHeight="1" spans="1:28">
      <c r="A2" s="271">
        <v>1</v>
      </c>
      <c r="B2" s="271" t="s">
        <v>83</v>
      </c>
      <c r="C2" s="271">
        <v>176191301</v>
      </c>
      <c r="D2" s="271">
        <v>90</v>
      </c>
      <c r="E2" s="271">
        <v>8900</v>
      </c>
      <c r="F2" s="274" t="s">
        <v>97</v>
      </c>
      <c r="G2" s="271">
        <v>2</v>
      </c>
      <c r="H2" s="271" t="s">
        <v>228</v>
      </c>
      <c r="I2" s="277"/>
      <c r="J2" s="277"/>
      <c r="K2" s="277"/>
      <c r="L2" s="277"/>
      <c r="M2" s="277"/>
      <c r="N2" s="277"/>
      <c r="O2" s="277"/>
      <c r="P2" s="277"/>
      <c r="Q2" s="277"/>
      <c r="R2" s="277"/>
      <c r="S2" s="277"/>
      <c r="T2" s="277"/>
      <c r="U2" s="277"/>
      <c r="V2" s="277"/>
      <c r="W2" s="277"/>
      <c r="X2" s="277"/>
      <c r="Y2" s="277"/>
      <c r="Z2" s="277"/>
      <c r="AA2" s="277"/>
      <c r="AB2" s="277"/>
    </row>
    <row r="3" ht="23.25" customHeight="1" spans="1:28">
      <c r="A3" s="271">
        <v>2</v>
      </c>
      <c r="B3" s="271" t="s">
        <v>84</v>
      </c>
      <c r="C3" s="271">
        <v>1004877057</v>
      </c>
      <c r="D3" s="271">
        <v>90</v>
      </c>
      <c r="E3" s="271">
        <v>9000</v>
      </c>
      <c r="F3" s="274" t="s">
        <v>229</v>
      </c>
      <c r="G3" s="271">
        <v>2</v>
      </c>
      <c r="H3" s="271" t="s">
        <v>230</v>
      </c>
      <c r="I3" s="277"/>
      <c r="J3" s="277"/>
      <c r="K3" s="277"/>
      <c r="L3" s="277"/>
      <c r="M3" s="277"/>
      <c r="N3" s="277"/>
      <c r="O3" s="277"/>
      <c r="P3" s="277"/>
      <c r="Q3" s="277"/>
      <c r="R3" s="277"/>
      <c r="S3" s="277"/>
      <c r="T3" s="277"/>
      <c r="U3" s="277"/>
      <c r="V3" s="277"/>
      <c r="W3" s="277"/>
      <c r="X3" s="277"/>
      <c r="Y3" s="277"/>
      <c r="Z3" s="277"/>
      <c r="AA3" s="277"/>
      <c r="AB3" s="277"/>
    </row>
    <row r="4" ht="23.25" customHeight="1" spans="1:28">
      <c r="A4" s="271">
        <v>3</v>
      </c>
      <c r="B4" s="271" t="s">
        <v>107</v>
      </c>
      <c r="C4" s="271">
        <v>187933845</v>
      </c>
      <c r="D4" s="271">
        <v>89</v>
      </c>
      <c r="E4" s="271">
        <v>8100</v>
      </c>
      <c r="F4" s="274" t="s">
        <v>231</v>
      </c>
      <c r="G4" s="271">
        <v>1</v>
      </c>
      <c r="H4" s="271" t="s">
        <v>232</v>
      </c>
      <c r="I4" s="277"/>
      <c r="J4" s="277"/>
      <c r="K4" s="277"/>
      <c r="L4" s="277"/>
      <c r="M4" s="277"/>
      <c r="N4" s="277"/>
      <c r="O4" s="277"/>
      <c r="P4" s="277"/>
      <c r="Q4" s="277"/>
      <c r="R4" s="277"/>
      <c r="S4" s="277"/>
      <c r="T4" s="277"/>
      <c r="U4" s="277"/>
      <c r="V4" s="277"/>
      <c r="W4" s="277"/>
      <c r="X4" s="277"/>
      <c r="Y4" s="277"/>
      <c r="Z4" s="277"/>
      <c r="AA4" s="277"/>
      <c r="AB4" s="277"/>
    </row>
    <row r="5" ht="23.25" customHeight="1" spans="1:28">
      <c r="A5" s="271">
        <v>4</v>
      </c>
      <c r="B5" s="271" t="s">
        <v>108</v>
      </c>
      <c r="C5" s="271">
        <v>187468758</v>
      </c>
      <c r="D5" s="271">
        <v>88</v>
      </c>
      <c r="E5" s="271">
        <v>9000</v>
      </c>
      <c r="F5" s="274" t="s">
        <v>233</v>
      </c>
      <c r="G5" s="271">
        <v>1</v>
      </c>
      <c r="H5" s="271" t="s">
        <v>234</v>
      </c>
      <c r="I5" s="277"/>
      <c r="J5" s="277"/>
      <c r="K5" s="277"/>
      <c r="L5" s="277"/>
      <c r="M5" s="277"/>
      <c r="N5" s="277"/>
      <c r="O5" s="277"/>
      <c r="P5" s="277"/>
      <c r="Q5" s="277"/>
      <c r="R5" s="277"/>
      <c r="S5" s="277"/>
      <c r="T5" s="277"/>
      <c r="U5" s="277"/>
      <c r="V5" s="277"/>
      <c r="W5" s="277"/>
      <c r="X5" s="277"/>
      <c r="Y5" s="277"/>
      <c r="Z5" s="277"/>
      <c r="AA5" s="277"/>
      <c r="AB5" s="277"/>
    </row>
    <row r="6" ht="23.25" customHeight="1" spans="1:28">
      <c r="A6" s="272">
        <v>5</v>
      </c>
      <c r="B6" s="272" t="s">
        <v>75</v>
      </c>
      <c r="C6" s="272">
        <v>136801289</v>
      </c>
      <c r="D6" s="272">
        <v>88</v>
      </c>
      <c r="E6" s="273">
        <v>8750</v>
      </c>
      <c r="F6" s="275" t="s">
        <v>76</v>
      </c>
      <c r="G6" s="273">
        <v>1</v>
      </c>
      <c r="H6" s="273" t="s">
        <v>78</v>
      </c>
      <c r="I6" s="277"/>
      <c r="J6" s="277"/>
      <c r="K6" s="277"/>
      <c r="L6" s="277"/>
      <c r="M6" s="277"/>
      <c r="N6" s="277"/>
      <c r="O6" s="277"/>
      <c r="P6" s="277"/>
      <c r="Q6" s="277"/>
      <c r="R6" s="277"/>
      <c r="S6" s="277"/>
      <c r="T6" s="277"/>
      <c r="U6" s="277"/>
      <c r="V6" s="277"/>
      <c r="W6" s="277"/>
      <c r="X6" s="277"/>
      <c r="Y6" s="277"/>
      <c r="Z6" s="277"/>
      <c r="AA6" s="277"/>
      <c r="AB6" s="277"/>
    </row>
    <row r="7" ht="23.25" customHeight="1" spans="1:28">
      <c r="A7" s="271">
        <v>6</v>
      </c>
      <c r="B7" s="271" t="s">
        <v>130</v>
      </c>
      <c r="C7" s="271">
        <v>341670770</v>
      </c>
      <c r="D7" s="271">
        <v>87</v>
      </c>
      <c r="E7" s="271">
        <v>9000</v>
      </c>
      <c r="F7" s="274" t="s">
        <v>97</v>
      </c>
      <c r="G7" s="271">
        <v>1</v>
      </c>
      <c r="H7" s="271" t="s">
        <v>235</v>
      </c>
      <c r="I7" s="277"/>
      <c r="J7" s="277"/>
      <c r="K7" s="277"/>
      <c r="L7" s="277"/>
      <c r="M7" s="277"/>
      <c r="N7" s="277"/>
      <c r="O7" s="277"/>
      <c r="P7" s="277"/>
      <c r="Q7" s="277"/>
      <c r="R7" s="277"/>
      <c r="S7" s="277"/>
      <c r="T7" s="277"/>
      <c r="U7" s="277"/>
      <c r="V7" s="277"/>
      <c r="W7" s="277"/>
      <c r="X7" s="277"/>
      <c r="Y7" s="277"/>
      <c r="Z7" s="277"/>
      <c r="AA7" s="277"/>
      <c r="AB7" s="277"/>
    </row>
    <row r="8" ht="23.25" customHeight="1" spans="1:28">
      <c r="A8" s="271">
        <v>7</v>
      </c>
      <c r="B8" s="271" t="s">
        <v>131</v>
      </c>
      <c r="C8" s="271">
        <v>381057664</v>
      </c>
      <c r="D8" s="271">
        <v>85</v>
      </c>
      <c r="E8" s="271">
        <v>8500</v>
      </c>
      <c r="F8" s="274" t="s">
        <v>236</v>
      </c>
      <c r="G8" s="271">
        <v>1</v>
      </c>
      <c r="H8" s="271" t="s">
        <v>237</v>
      </c>
      <c r="I8" s="277"/>
      <c r="J8" s="277"/>
      <c r="K8" s="277"/>
      <c r="L8" s="277"/>
      <c r="M8" s="277"/>
      <c r="N8" s="277"/>
      <c r="O8" s="277"/>
      <c r="P8" s="277"/>
      <c r="Q8" s="277"/>
      <c r="R8" s="277"/>
      <c r="S8" s="277"/>
      <c r="T8" s="277"/>
      <c r="U8" s="277"/>
      <c r="V8" s="277"/>
      <c r="W8" s="277"/>
      <c r="X8" s="277"/>
      <c r="Y8" s="277"/>
      <c r="Z8" s="277"/>
      <c r="AA8" s="277"/>
      <c r="AB8" s="277"/>
    </row>
    <row r="9" ht="23.25" customHeight="1" spans="1:28">
      <c r="A9" s="272">
        <v>8</v>
      </c>
      <c r="B9" s="272" t="s">
        <v>80</v>
      </c>
      <c r="C9" s="272">
        <v>106964785</v>
      </c>
      <c r="D9" s="272">
        <v>84</v>
      </c>
      <c r="E9" s="273">
        <v>8330</v>
      </c>
      <c r="F9" s="275" t="s">
        <v>76</v>
      </c>
      <c r="G9" s="273">
        <v>4</v>
      </c>
      <c r="H9" s="273" t="s">
        <v>82</v>
      </c>
      <c r="I9" s="277"/>
      <c r="J9" s="277"/>
      <c r="K9" s="277"/>
      <c r="L9" s="277"/>
      <c r="M9" s="277"/>
      <c r="N9" s="277"/>
      <c r="O9" s="277"/>
      <c r="P9" s="277"/>
      <c r="Q9" s="277"/>
      <c r="R9" s="277"/>
      <c r="S9" s="277"/>
      <c r="T9" s="277"/>
      <c r="U9" s="277"/>
      <c r="V9" s="277"/>
      <c r="W9" s="277"/>
      <c r="X9" s="277"/>
      <c r="Y9" s="277"/>
      <c r="Z9" s="277"/>
      <c r="AA9" s="277"/>
      <c r="AB9" s="277"/>
    </row>
    <row r="10" ht="23.25" customHeight="1" spans="1:28">
      <c r="A10" s="272">
        <v>9</v>
      </c>
      <c r="B10" s="272" t="s">
        <v>85</v>
      </c>
      <c r="C10" s="272">
        <v>299227181</v>
      </c>
      <c r="D10" s="272">
        <v>83</v>
      </c>
      <c r="E10" s="276">
        <v>8600</v>
      </c>
      <c r="F10" s="275" t="s">
        <v>231</v>
      </c>
      <c r="G10" s="273">
        <v>1</v>
      </c>
      <c r="H10" s="273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</row>
    <row r="11" ht="23.25" customHeight="1" spans="1:28">
      <c r="A11" s="272">
        <v>10</v>
      </c>
      <c r="B11" s="272" t="s">
        <v>88</v>
      </c>
      <c r="C11" s="272">
        <v>266088396</v>
      </c>
      <c r="D11" s="272">
        <v>83</v>
      </c>
      <c r="E11" s="273">
        <v>8000</v>
      </c>
      <c r="F11" s="275" t="s">
        <v>238</v>
      </c>
      <c r="G11" s="273">
        <v>1</v>
      </c>
      <c r="H11" s="276" t="s">
        <v>90</v>
      </c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77"/>
      <c r="AA11" s="277"/>
      <c r="AB11" s="277"/>
    </row>
    <row r="12" ht="23.25" customHeight="1" spans="1:28">
      <c r="A12" s="272">
        <v>11</v>
      </c>
      <c r="B12" s="272" t="s">
        <v>86</v>
      </c>
      <c r="C12" s="272">
        <v>137306952</v>
      </c>
      <c r="D12" s="272">
        <v>82</v>
      </c>
      <c r="E12" s="273">
        <v>8900</v>
      </c>
      <c r="F12" s="275" t="s">
        <v>81</v>
      </c>
      <c r="G12" s="273">
        <v>0</v>
      </c>
      <c r="H12" s="273" t="s">
        <v>93</v>
      </c>
      <c r="I12" s="277"/>
      <c r="J12" s="277"/>
      <c r="K12" s="277"/>
      <c r="L12" s="277"/>
      <c r="M12" s="277"/>
      <c r="N12" s="277"/>
      <c r="O12" s="277"/>
      <c r="P12" s="277"/>
      <c r="Q12" s="277"/>
      <c r="R12" s="277"/>
      <c r="S12" s="277"/>
      <c r="T12" s="277"/>
      <c r="U12" s="277"/>
      <c r="V12" s="277"/>
      <c r="W12" s="277"/>
      <c r="X12" s="277"/>
      <c r="Y12" s="277"/>
      <c r="Z12" s="277"/>
      <c r="AA12" s="277"/>
      <c r="AB12" s="277"/>
    </row>
    <row r="13" ht="23.25" customHeight="1" spans="1:28">
      <c r="A13" s="272">
        <v>12</v>
      </c>
      <c r="B13" s="272" t="s">
        <v>96</v>
      </c>
      <c r="C13" s="272">
        <v>138558413</v>
      </c>
      <c r="D13" s="272">
        <v>81</v>
      </c>
      <c r="E13" s="273">
        <v>7500</v>
      </c>
      <c r="F13" s="275" t="s">
        <v>97</v>
      </c>
      <c r="G13" s="273">
        <v>2</v>
      </c>
      <c r="H13" s="273" t="s">
        <v>98</v>
      </c>
      <c r="I13" s="277"/>
      <c r="J13" s="277"/>
      <c r="K13" s="277"/>
      <c r="L13" s="277"/>
      <c r="M13" s="277"/>
      <c r="N13" s="277"/>
      <c r="O13" s="277"/>
      <c r="P13" s="277"/>
      <c r="Q13" s="277"/>
      <c r="R13" s="277"/>
      <c r="S13" s="277"/>
      <c r="T13" s="277"/>
      <c r="U13" s="277"/>
      <c r="V13" s="277"/>
      <c r="W13" s="277"/>
      <c r="X13" s="277"/>
      <c r="Y13" s="277"/>
      <c r="Z13" s="277"/>
      <c r="AA13" s="277"/>
      <c r="AB13" s="277"/>
    </row>
    <row r="14" ht="23.25" customHeight="1" spans="1:28">
      <c r="A14" s="272">
        <v>13</v>
      </c>
      <c r="B14" s="272" t="s">
        <v>101</v>
      </c>
      <c r="C14" s="272">
        <v>164613165</v>
      </c>
      <c r="D14" s="272">
        <v>80</v>
      </c>
      <c r="E14" s="273">
        <v>8000</v>
      </c>
      <c r="F14" s="275" t="s">
        <v>76</v>
      </c>
      <c r="G14" s="273">
        <v>0</v>
      </c>
      <c r="H14" s="273">
        <v>0</v>
      </c>
      <c r="I14" s="277"/>
      <c r="J14" s="277"/>
      <c r="K14" s="277"/>
      <c r="L14" s="277"/>
      <c r="M14" s="277"/>
      <c r="N14" s="277"/>
      <c r="O14" s="277"/>
      <c r="P14" s="277"/>
      <c r="Q14" s="277"/>
      <c r="R14" s="277"/>
      <c r="S14" s="277"/>
      <c r="T14" s="277"/>
      <c r="U14" s="277"/>
      <c r="V14" s="277"/>
      <c r="W14" s="277"/>
      <c r="X14" s="277"/>
      <c r="Y14" s="277"/>
      <c r="Z14" s="277"/>
      <c r="AA14" s="277"/>
      <c r="AB14" s="277"/>
    </row>
    <row r="15" ht="23.25" customHeight="1" spans="1:28">
      <c r="A15" s="272">
        <v>14</v>
      </c>
      <c r="B15" s="272" t="s">
        <v>102</v>
      </c>
      <c r="C15" s="272">
        <v>173964673</v>
      </c>
      <c r="D15" s="272">
        <v>78</v>
      </c>
      <c r="E15" s="273">
        <v>7800</v>
      </c>
      <c r="F15" s="275" t="s">
        <v>239</v>
      </c>
      <c r="G15" s="273">
        <v>0</v>
      </c>
      <c r="H15" s="273" t="s">
        <v>103</v>
      </c>
      <c r="I15" s="277"/>
      <c r="J15" s="277"/>
      <c r="K15" s="277"/>
      <c r="L15" s="277"/>
      <c r="M15" s="277"/>
      <c r="N15" s="277"/>
      <c r="O15" s="277"/>
      <c r="P15" s="277"/>
      <c r="Q15" s="277"/>
      <c r="R15" s="277"/>
      <c r="S15" s="277"/>
      <c r="T15" s="277"/>
      <c r="U15" s="277"/>
      <c r="V15" s="277"/>
      <c r="W15" s="277"/>
      <c r="X15" s="277"/>
      <c r="Y15" s="277"/>
      <c r="Z15" s="277"/>
      <c r="AA15" s="277"/>
      <c r="AB15" s="277"/>
    </row>
    <row r="16" ht="23.25" customHeight="1" spans="1:28">
      <c r="A16" s="272">
        <v>15</v>
      </c>
      <c r="B16" s="272" t="s">
        <v>104</v>
      </c>
      <c r="C16" s="272">
        <v>383560624</v>
      </c>
      <c r="D16" s="272">
        <v>77</v>
      </c>
      <c r="E16" s="273">
        <v>7700</v>
      </c>
      <c r="F16" s="275" t="s">
        <v>240</v>
      </c>
      <c r="G16" s="273">
        <v>2</v>
      </c>
      <c r="H16" s="273" t="s">
        <v>106</v>
      </c>
      <c r="I16" s="277"/>
      <c r="J16" s="277"/>
      <c r="K16" s="277"/>
      <c r="L16" s="277"/>
      <c r="M16" s="277"/>
      <c r="N16" s="277"/>
      <c r="O16" s="277"/>
      <c r="P16" s="277"/>
      <c r="Q16" s="277"/>
      <c r="R16" s="277"/>
      <c r="S16" s="277"/>
      <c r="T16" s="277"/>
      <c r="U16" s="277"/>
      <c r="V16" s="277"/>
      <c r="W16" s="277"/>
      <c r="X16" s="277"/>
      <c r="Y16" s="277"/>
      <c r="Z16" s="277"/>
      <c r="AA16" s="277"/>
      <c r="AB16" s="277"/>
    </row>
    <row r="17" ht="23.25" customHeight="1" spans="1:28">
      <c r="A17" s="271">
        <v>16</v>
      </c>
      <c r="B17" s="271" t="s">
        <v>150</v>
      </c>
      <c r="C17" s="271">
        <v>885588023</v>
      </c>
      <c r="D17" s="271">
        <v>77</v>
      </c>
      <c r="E17" s="271">
        <v>7000</v>
      </c>
      <c r="F17" s="274" t="s">
        <v>241</v>
      </c>
      <c r="G17" s="271">
        <v>0</v>
      </c>
      <c r="H17" s="271" t="s">
        <v>242</v>
      </c>
      <c r="I17" s="277"/>
      <c r="J17" s="277"/>
      <c r="K17" s="277"/>
      <c r="L17" s="277"/>
      <c r="M17" s="277"/>
      <c r="N17" s="277"/>
      <c r="O17" s="277"/>
      <c r="P17" s="277"/>
      <c r="Q17" s="277"/>
      <c r="R17" s="277"/>
      <c r="S17" s="277"/>
      <c r="T17" s="277"/>
      <c r="U17" s="277"/>
      <c r="V17" s="277"/>
      <c r="W17" s="277"/>
      <c r="X17" s="277"/>
      <c r="Y17" s="277"/>
      <c r="Z17" s="277"/>
      <c r="AA17" s="277"/>
      <c r="AB17" s="277"/>
    </row>
    <row r="18" ht="23.25" customHeight="1" spans="1:28">
      <c r="A18" s="271">
        <v>17</v>
      </c>
      <c r="B18" s="271" t="s">
        <v>151</v>
      </c>
      <c r="C18" s="271">
        <v>267719332</v>
      </c>
      <c r="D18" s="271">
        <v>76</v>
      </c>
      <c r="E18" s="271">
        <v>7000</v>
      </c>
      <c r="F18" s="274" t="s">
        <v>243</v>
      </c>
      <c r="G18" s="271">
        <v>1</v>
      </c>
      <c r="H18" s="271" t="s">
        <v>244</v>
      </c>
      <c r="I18" s="277"/>
      <c r="J18" s="277"/>
      <c r="K18" s="277"/>
      <c r="L18" s="277"/>
      <c r="M18" s="277"/>
      <c r="N18" s="277"/>
      <c r="O18" s="277"/>
      <c r="P18" s="277"/>
      <c r="Q18" s="277"/>
      <c r="R18" s="277"/>
      <c r="S18" s="277"/>
      <c r="T18" s="277"/>
      <c r="U18" s="277"/>
      <c r="V18" s="277"/>
      <c r="W18" s="277"/>
      <c r="X18" s="277"/>
      <c r="Y18" s="277"/>
      <c r="Z18" s="277"/>
      <c r="AA18" s="277"/>
      <c r="AB18" s="277"/>
    </row>
    <row r="19" ht="23.25" customHeight="1" spans="1:28">
      <c r="A19" s="272">
        <v>18</v>
      </c>
      <c r="B19" s="272" t="s">
        <v>245</v>
      </c>
      <c r="C19" s="272">
        <v>457383175</v>
      </c>
      <c r="D19" s="272">
        <v>76</v>
      </c>
      <c r="E19" s="273">
        <v>6500</v>
      </c>
      <c r="F19" s="275" t="s">
        <v>97</v>
      </c>
      <c r="G19" s="273">
        <v>0</v>
      </c>
      <c r="H19" s="273" t="s">
        <v>112</v>
      </c>
      <c r="I19" s="277"/>
      <c r="J19" s="277"/>
      <c r="K19" s="277"/>
      <c r="L19" s="277"/>
      <c r="M19" s="277"/>
      <c r="N19" s="277"/>
      <c r="O19" s="277"/>
      <c r="P19" s="277"/>
      <c r="Q19" s="277"/>
      <c r="R19" s="277"/>
      <c r="S19" s="277"/>
      <c r="T19" s="277"/>
      <c r="U19" s="277"/>
      <c r="V19" s="277"/>
      <c r="W19" s="277"/>
      <c r="X19" s="277"/>
      <c r="Y19" s="277"/>
      <c r="Z19" s="277"/>
      <c r="AA19" s="277"/>
      <c r="AB19" s="277"/>
    </row>
    <row r="20" ht="23.25" customHeight="1" spans="1:28">
      <c r="A20" s="272">
        <v>19</v>
      </c>
      <c r="B20" s="272">
        <v>21</v>
      </c>
      <c r="C20" s="272">
        <v>277443592</v>
      </c>
      <c r="D20" s="272">
        <v>75</v>
      </c>
      <c r="E20" s="273">
        <v>6800</v>
      </c>
      <c r="F20" s="275" t="s">
        <v>76</v>
      </c>
      <c r="G20" s="273">
        <v>1</v>
      </c>
      <c r="H20" s="273" t="s">
        <v>246</v>
      </c>
      <c r="I20" s="277"/>
      <c r="J20" s="277"/>
      <c r="K20" s="277"/>
      <c r="L20" s="277"/>
      <c r="M20" s="277"/>
      <c r="N20" s="277"/>
      <c r="O20" s="277"/>
      <c r="P20" s="277"/>
      <c r="Q20" s="277"/>
      <c r="R20" s="277"/>
      <c r="S20" s="277"/>
      <c r="T20" s="277"/>
      <c r="U20" s="277"/>
      <c r="V20" s="277"/>
      <c r="W20" s="277"/>
      <c r="X20" s="277"/>
      <c r="Y20" s="277"/>
      <c r="Z20" s="277"/>
      <c r="AA20" s="277"/>
      <c r="AB20" s="277"/>
    </row>
    <row r="21" ht="23.25" customHeight="1" spans="1:28">
      <c r="A21" s="272">
        <v>20</v>
      </c>
      <c r="B21" s="272" t="s">
        <v>247</v>
      </c>
      <c r="C21" s="272">
        <v>186753076</v>
      </c>
      <c r="D21" s="272">
        <v>75</v>
      </c>
      <c r="E21" s="273">
        <v>7500</v>
      </c>
      <c r="F21" s="275" t="s">
        <v>248</v>
      </c>
      <c r="G21" s="273">
        <v>0</v>
      </c>
      <c r="H21" s="273" t="s">
        <v>249</v>
      </c>
      <c r="I21" s="277"/>
      <c r="J21" s="277"/>
      <c r="K21" s="277"/>
      <c r="L21" s="277"/>
      <c r="M21" s="277"/>
      <c r="N21" s="277"/>
      <c r="O21" s="277"/>
      <c r="P21" s="277"/>
      <c r="Q21" s="277"/>
      <c r="R21" s="277"/>
      <c r="S21" s="277"/>
      <c r="T21" s="277"/>
      <c r="U21" s="277"/>
      <c r="V21" s="277"/>
      <c r="W21" s="277"/>
      <c r="X21" s="277"/>
      <c r="Y21" s="277"/>
      <c r="Z21" s="277"/>
      <c r="AA21" s="277"/>
      <c r="AB21" s="277"/>
    </row>
    <row r="22" ht="23.25" customHeight="1" spans="1:28">
      <c r="A22" s="272">
        <v>21</v>
      </c>
      <c r="B22" s="272" t="s">
        <v>87</v>
      </c>
      <c r="C22" s="272">
        <v>1259908216</v>
      </c>
      <c r="D22" s="272">
        <v>75</v>
      </c>
      <c r="E22" s="273">
        <v>7500</v>
      </c>
      <c r="F22" s="275" t="s">
        <v>97</v>
      </c>
      <c r="G22" s="273">
        <v>3</v>
      </c>
      <c r="H22" s="273" t="s">
        <v>119</v>
      </c>
      <c r="I22" s="277"/>
      <c r="J22" s="277"/>
      <c r="K22" s="277"/>
      <c r="L22" s="277"/>
      <c r="M22" s="277"/>
      <c r="N22" s="277"/>
      <c r="O22" s="277"/>
      <c r="P22" s="277"/>
      <c r="Q22" s="277"/>
      <c r="R22" s="277"/>
      <c r="S22" s="277"/>
      <c r="T22" s="277"/>
      <c r="U22" s="277"/>
      <c r="V22" s="277"/>
      <c r="W22" s="277"/>
      <c r="X22" s="277"/>
      <c r="Y22" s="277"/>
      <c r="Z22" s="277"/>
      <c r="AA22" s="277"/>
      <c r="AB22" s="277"/>
    </row>
    <row r="23" ht="23.25" customHeight="1" spans="1:28">
      <c r="A23" s="272">
        <v>22</v>
      </c>
      <c r="B23" s="273" t="s">
        <v>91</v>
      </c>
      <c r="C23" s="273">
        <v>401464166</v>
      </c>
      <c r="D23" s="272">
        <v>70</v>
      </c>
      <c r="E23" s="273">
        <v>6800</v>
      </c>
      <c r="F23" s="275" t="s">
        <v>241</v>
      </c>
      <c r="G23" s="273">
        <v>0</v>
      </c>
      <c r="H23" s="273" t="s">
        <v>125</v>
      </c>
      <c r="I23" s="277"/>
      <c r="J23" s="277"/>
      <c r="K23" s="277"/>
      <c r="L23" s="277"/>
      <c r="M23" s="277"/>
      <c r="N23" s="277"/>
      <c r="O23" s="277"/>
      <c r="P23" s="277"/>
      <c r="Q23" s="277"/>
      <c r="R23" s="277"/>
      <c r="S23" s="277"/>
      <c r="T23" s="277"/>
      <c r="U23" s="277"/>
      <c r="V23" s="277"/>
      <c r="W23" s="277"/>
      <c r="X23" s="277"/>
      <c r="Y23" s="277"/>
      <c r="Z23" s="277"/>
      <c r="AA23" s="277"/>
      <c r="AB23" s="277"/>
    </row>
    <row r="24" ht="23.25" customHeight="1" spans="1:28">
      <c r="A24" s="271">
        <v>23</v>
      </c>
      <c r="B24" s="271" t="s">
        <v>250</v>
      </c>
      <c r="C24" s="271">
        <v>355328125</v>
      </c>
      <c r="D24" s="271">
        <v>68</v>
      </c>
      <c r="E24" s="271">
        <v>6649</v>
      </c>
      <c r="F24" s="274" t="s">
        <v>241</v>
      </c>
      <c r="G24" s="271">
        <v>2</v>
      </c>
      <c r="H24" s="271" t="s">
        <v>251</v>
      </c>
      <c r="I24" s="277"/>
      <c r="J24" s="277"/>
      <c r="K24" s="277"/>
      <c r="L24" s="277"/>
      <c r="M24" s="277"/>
      <c r="N24" s="277"/>
      <c r="O24" s="277"/>
      <c r="P24" s="277"/>
      <c r="Q24" s="277"/>
      <c r="R24" s="277"/>
      <c r="S24" s="277"/>
      <c r="T24" s="277"/>
      <c r="U24" s="277"/>
      <c r="V24" s="277"/>
      <c r="W24" s="277"/>
      <c r="X24" s="277"/>
      <c r="Y24" s="277"/>
      <c r="Z24" s="277"/>
      <c r="AA24" s="277"/>
      <c r="AB24" s="277"/>
    </row>
    <row r="25" ht="23.25" customHeight="1" spans="1:28">
      <c r="A25" s="272">
        <v>24</v>
      </c>
      <c r="B25" s="272" t="s">
        <v>252</v>
      </c>
      <c r="C25" s="272">
        <v>122810642</v>
      </c>
      <c r="D25" s="272">
        <v>68</v>
      </c>
      <c r="E25" s="273">
        <v>6000</v>
      </c>
      <c r="F25" s="275" t="s">
        <v>241</v>
      </c>
      <c r="G25" s="273">
        <v>0</v>
      </c>
      <c r="H25" s="276" t="s">
        <v>128</v>
      </c>
      <c r="I25" s="277"/>
      <c r="J25" s="277"/>
      <c r="K25" s="277"/>
      <c r="L25" s="277"/>
      <c r="M25" s="277"/>
      <c r="N25" s="277"/>
      <c r="O25" s="277"/>
      <c r="P25" s="277"/>
      <c r="Q25" s="277"/>
      <c r="R25" s="277"/>
      <c r="S25" s="277"/>
      <c r="T25" s="277"/>
      <c r="U25" s="277"/>
      <c r="V25" s="277"/>
      <c r="W25" s="277"/>
      <c r="X25" s="277"/>
      <c r="Y25" s="277"/>
      <c r="Z25" s="277"/>
      <c r="AA25" s="277"/>
      <c r="AB25" s="277"/>
    </row>
    <row r="26" ht="23.25" customHeight="1" spans="1:28">
      <c r="A26" s="272">
        <v>25</v>
      </c>
      <c r="B26" s="272" t="s">
        <v>114</v>
      </c>
      <c r="C26" s="272">
        <v>235611786</v>
      </c>
      <c r="D26" s="272">
        <v>65</v>
      </c>
      <c r="E26" s="273">
        <v>4300</v>
      </c>
      <c r="F26" s="275" t="s">
        <v>97</v>
      </c>
      <c r="G26" s="273">
        <v>1</v>
      </c>
      <c r="H26" s="273" t="s">
        <v>129</v>
      </c>
      <c r="I26" s="277"/>
      <c r="J26" s="277"/>
      <c r="K26" s="277"/>
      <c r="L26" s="277"/>
      <c r="M26" s="277"/>
      <c r="N26" s="277"/>
      <c r="O26" s="277"/>
      <c r="P26" s="277"/>
      <c r="Q26" s="277"/>
      <c r="R26" s="277"/>
      <c r="S26" s="277"/>
      <c r="T26" s="277"/>
      <c r="U26" s="277"/>
      <c r="V26" s="277"/>
      <c r="W26" s="277"/>
      <c r="X26" s="277"/>
      <c r="Y26" s="277"/>
      <c r="Z26" s="277"/>
      <c r="AA26" s="277"/>
      <c r="AB26" s="277"/>
    </row>
    <row r="27" ht="23.25" customHeight="1" spans="1:28">
      <c r="A27" s="271">
        <v>26</v>
      </c>
      <c r="B27" s="271" t="s">
        <v>253</v>
      </c>
      <c r="C27" s="271">
        <v>108868178</v>
      </c>
      <c r="D27" s="271">
        <v>64</v>
      </c>
      <c r="E27" s="271">
        <v>6000</v>
      </c>
      <c r="F27" s="274" t="s">
        <v>97</v>
      </c>
      <c r="G27" s="271">
        <v>0</v>
      </c>
      <c r="H27" s="271" t="s">
        <v>254</v>
      </c>
      <c r="I27" s="277"/>
      <c r="J27" s="277"/>
      <c r="K27" s="277"/>
      <c r="L27" s="277"/>
      <c r="M27" s="277"/>
      <c r="N27" s="277"/>
      <c r="O27" s="277"/>
      <c r="P27" s="277"/>
      <c r="Q27" s="277"/>
      <c r="R27" s="277"/>
      <c r="S27" s="277"/>
      <c r="T27" s="277"/>
      <c r="U27" s="277"/>
      <c r="V27" s="277"/>
      <c r="W27" s="277"/>
      <c r="X27" s="277"/>
      <c r="Y27" s="277"/>
      <c r="Z27" s="277"/>
      <c r="AA27" s="277"/>
      <c r="AB27" s="277"/>
    </row>
    <row r="28" ht="23.25" customHeight="1" spans="1:28">
      <c r="A28" s="272">
        <v>27</v>
      </c>
      <c r="B28" s="272" t="s">
        <v>132</v>
      </c>
      <c r="C28" s="272">
        <v>104465635</v>
      </c>
      <c r="D28" s="272">
        <v>63</v>
      </c>
      <c r="E28" s="273">
        <v>6000</v>
      </c>
      <c r="F28" s="275" t="s">
        <v>236</v>
      </c>
      <c r="G28" s="273">
        <v>2</v>
      </c>
      <c r="H28" s="273" t="s">
        <v>133</v>
      </c>
      <c r="I28" s="277"/>
      <c r="J28" s="277"/>
      <c r="K28" s="277"/>
      <c r="L28" s="277"/>
      <c r="M28" s="277"/>
      <c r="N28" s="277"/>
      <c r="O28" s="277"/>
      <c r="P28" s="277"/>
      <c r="Q28" s="277"/>
      <c r="R28" s="277"/>
      <c r="S28" s="277"/>
      <c r="T28" s="277"/>
      <c r="U28" s="277"/>
      <c r="V28" s="277"/>
      <c r="W28" s="277"/>
      <c r="X28" s="277"/>
      <c r="Y28" s="277"/>
      <c r="Z28" s="277"/>
      <c r="AA28" s="277"/>
      <c r="AB28" s="277"/>
    </row>
    <row r="29" ht="23.25" customHeight="1" spans="1:28">
      <c r="A29" s="272">
        <v>28</v>
      </c>
      <c r="B29" s="272" t="s">
        <v>121</v>
      </c>
      <c r="C29" s="272">
        <v>334481697</v>
      </c>
      <c r="D29" s="272">
        <v>60</v>
      </c>
      <c r="E29" s="273">
        <v>6000</v>
      </c>
      <c r="F29" s="275" t="s">
        <v>248</v>
      </c>
      <c r="G29" s="273"/>
      <c r="H29" s="273"/>
      <c r="I29" s="277"/>
      <c r="J29" s="277"/>
      <c r="K29" s="277"/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7"/>
      <c r="Z29" s="277"/>
      <c r="AA29" s="277"/>
      <c r="AB29" s="277"/>
    </row>
    <row r="30" ht="23.25" customHeight="1" spans="1:28">
      <c r="A30" s="272">
        <v>29</v>
      </c>
      <c r="B30" s="272" t="s">
        <v>255</v>
      </c>
      <c r="C30" s="272">
        <v>255882400</v>
      </c>
      <c r="D30" s="272">
        <v>60</v>
      </c>
      <c r="E30" s="273">
        <v>5900</v>
      </c>
      <c r="F30" s="275" t="s">
        <v>256</v>
      </c>
      <c r="G30" s="273">
        <v>0</v>
      </c>
      <c r="H30" s="273" t="s">
        <v>137</v>
      </c>
      <c r="I30" s="277"/>
      <c r="J30" s="277"/>
      <c r="K30" s="277"/>
      <c r="L30" s="277"/>
      <c r="M30" s="277"/>
      <c r="N30" s="277"/>
      <c r="O30" s="277"/>
      <c r="P30" s="277"/>
      <c r="Q30" s="277"/>
      <c r="R30" s="277"/>
      <c r="S30" s="277"/>
      <c r="T30" s="277"/>
      <c r="U30" s="277"/>
      <c r="V30" s="277"/>
      <c r="W30" s="277"/>
      <c r="X30" s="277"/>
      <c r="Y30" s="277"/>
      <c r="Z30" s="277"/>
      <c r="AA30" s="277"/>
      <c r="AB30" s="277"/>
    </row>
    <row r="31" ht="23.25" customHeight="1" spans="1:28">
      <c r="A31" s="272">
        <v>30</v>
      </c>
      <c r="B31" s="272" t="s">
        <v>145</v>
      </c>
      <c r="C31" s="272">
        <v>117970934</v>
      </c>
      <c r="D31" s="272">
        <v>60</v>
      </c>
      <c r="E31" s="273">
        <v>6000</v>
      </c>
      <c r="F31" s="275" t="s">
        <v>89</v>
      </c>
      <c r="G31" s="273">
        <v>0</v>
      </c>
      <c r="H31" s="273" t="s">
        <v>146</v>
      </c>
      <c r="I31" s="277"/>
      <c r="J31" s="277"/>
      <c r="K31" s="277"/>
      <c r="L31" s="277"/>
      <c r="M31" s="277"/>
      <c r="N31" s="277"/>
      <c r="O31" s="277"/>
      <c r="P31" s="277"/>
      <c r="Q31" s="277"/>
      <c r="R31" s="277"/>
      <c r="S31" s="277"/>
      <c r="T31" s="277"/>
      <c r="U31" s="277"/>
      <c r="V31" s="277"/>
      <c r="W31" s="277"/>
      <c r="X31" s="277"/>
      <c r="Y31" s="277"/>
      <c r="Z31" s="277"/>
      <c r="AA31" s="277"/>
      <c r="AB31" s="277"/>
    </row>
    <row r="32" ht="23.25" customHeight="1" spans="1:28">
      <c r="A32" s="272">
        <v>31</v>
      </c>
      <c r="B32" s="272" t="s">
        <v>118</v>
      </c>
      <c r="C32" s="272">
        <v>154029585</v>
      </c>
      <c r="D32" s="272">
        <v>60</v>
      </c>
      <c r="E32" s="273">
        <v>6000</v>
      </c>
      <c r="F32" s="275" t="s">
        <v>81</v>
      </c>
      <c r="G32" s="273">
        <v>3</v>
      </c>
      <c r="H32" s="273" t="s">
        <v>257</v>
      </c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77"/>
      <c r="AA32" s="277"/>
      <c r="AB32" s="277"/>
    </row>
    <row r="33" ht="23.25" customHeight="1" spans="1:28">
      <c r="A33" s="272">
        <v>32</v>
      </c>
      <c r="B33" s="272" t="s">
        <v>147</v>
      </c>
      <c r="C33" s="272">
        <v>1255409177</v>
      </c>
      <c r="D33" s="272">
        <v>59</v>
      </c>
      <c r="E33" s="273">
        <v>6200</v>
      </c>
      <c r="F33" s="275" t="s">
        <v>81</v>
      </c>
      <c r="G33" s="273">
        <v>2</v>
      </c>
      <c r="H33" s="273" t="s">
        <v>258</v>
      </c>
      <c r="I33" s="277"/>
      <c r="J33" s="277"/>
      <c r="K33" s="277"/>
      <c r="L33" s="277"/>
      <c r="M33" s="277"/>
      <c r="N33" s="277"/>
      <c r="O33" s="277"/>
      <c r="P33" s="277"/>
      <c r="Q33" s="277"/>
      <c r="R33" s="277"/>
      <c r="S33" s="277"/>
      <c r="T33" s="277"/>
      <c r="U33" s="277"/>
      <c r="V33" s="277"/>
      <c r="W33" s="277"/>
      <c r="X33" s="277"/>
      <c r="Y33" s="277"/>
      <c r="Z33" s="277"/>
      <c r="AA33" s="277"/>
      <c r="AB33" s="277"/>
    </row>
    <row r="34" ht="23.25" customHeight="1" spans="1:28">
      <c r="A34" s="272">
        <v>33</v>
      </c>
      <c r="B34" s="272" t="s">
        <v>92</v>
      </c>
      <c r="C34" s="272">
        <v>354618808</v>
      </c>
      <c r="D34" s="272">
        <v>58</v>
      </c>
      <c r="E34" s="273">
        <v>6000</v>
      </c>
      <c r="F34" s="275" t="s">
        <v>259</v>
      </c>
      <c r="G34" s="273">
        <v>1</v>
      </c>
      <c r="H34" s="273" t="s">
        <v>149</v>
      </c>
      <c r="I34" s="277"/>
      <c r="J34" s="277"/>
      <c r="K34" s="277"/>
      <c r="L34" s="277"/>
      <c r="M34" s="277"/>
      <c r="N34" s="277"/>
      <c r="O34" s="277"/>
      <c r="P34" s="277"/>
      <c r="Q34" s="277"/>
      <c r="R34" s="277"/>
      <c r="S34" s="277"/>
      <c r="T34" s="277"/>
      <c r="U34" s="277"/>
      <c r="V34" s="277"/>
      <c r="W34" s="277"/>
      <c r="X34" s="277"/>
      <c r="Y34" s="277"/>
      <c r="Z34" s="277"/>
      <c r="AA34" s="277"/>
      <c r="AB34" s="277"/>
    </row>
    <row r="35" ht="23.25" customHeight="1" spans="1:28">
      <c r="A35" s="272">
        <v>34</v>
      </c>
      <c r="B35" s="272" t="s">
        <v>152</v>
      </c>
      <c r="C35" s="272">
        <v>283200408</v>
      </c>
      <c r="D35" s="272">
        <v>56</v>
      </c>
      <c r="E35" s="273">
        <v>5600</v>
      </c>
      <c r="F35" s="275" t="s">
        <v>260</v>
      </c>
      <c r="G35" s="273">
        <v>0</v>
      </c>
      <c r="H35" s="273" t="s">
        <v>153</v>
      </c>
      <c r="I35" s="277"/>
      <c r="J35" s="277"/>
      <c r="K35" s="277"/>
      <c r="L35" s="277"/>
      <c r="M35" s="277"/>
      <c r="N35" s="277"/>
      <c r="O35" s="277"/>
      <c r="P35" s="277"/>
      <c r="Q35" s="277"/>
      <c r="R35" s="277"/>
      <c r="S35" s="277"/>
      <c r="T35" s="277"/>
      <c r="U35" s="277"/>
      <c r="V35" s="277"/>
      <c r="W35" s="277"/>
      <c r="X35" s="277"/>
      <c r="Y35" s="277"/>
      <c r="Z35" s="277"/>
      <c r="AA35" s="277"/>
      <c r="AB35" s="277"/>
    </row>
    <row r="36" ht="23.25" customHeight="1" spans="1:28">
      <c r="A36" s="272">
        <v>35</v>
      </c>
      <c r="B36" s="272" t="s">
        <v>120</v>
      </c>
      <c r="C36" s="272">
        <v>223646770</v>
      </c>
      <c r="D36" s="272">
        <v>55</v>
      </c>
      <c r="E36" s="273">
        <v>5000</v>
      </c>
      <c r="F36" s="275" t="s">
        <v>261</v>
      </c>
      <c r="G36" s="273">
        <v>0</v>
      </c>
      <c r="H36" s="273" t="s">
        <v>161</v>
      </c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77"/>
      <c r="AA36" s="277"/>
      <c r="AB36" s="277"/>
    </row>
    <row r="37" ht="23.25" customHeight="1" spans="1:28">
      <c r="A37" s="272">
        <v>36</v>
      </c>
      <c r="B37" s="272" t="s">
        <v>154</v>
      </c>
      <c r="C37" s="272">
        <v>117252110</v>
      </c>
      <c r="D37" s="272">
        <v>55</v>
      </c>
      <c r="E37" s="273">
        <v>4100</v>
      </c>
      <c r="F37" s="275" t="s">
        <v>97</v>
      </c>
      <c r="G37" s="273"/>
      <c r="H37" s="273"/>
      <c r="I37" s="277"/>
      <c r="J37" s="277"/>
      <c r="K37" s="277"/>
      <c r="L37" s="277"/>
      <c r="M37" s="277"/>
      <c r="N37" s="277"/>
      <c r="O37" s="277"/>
      <c r="P37" s="277"/>
      <c r="Q37" s="277"/>
      <c r="R37" s="277"/>
      <c r="S37" s="277"/>
      <c r="T37" s="277"/>
      <c r="U37" s="277"/>
      <c r="V37" s="277"/>
      <c r="W37" s="277"/>
      <c r="X37" s="277"/>
      <c r="Y37" s="277"/>
      <c r="Z37" s="277"/>
      <c r="AA37" s="277"/>
      <c r="AB37" s="277"/>
    </row>
    <row r="38" ht="23.25" customHeight="1" spans="1:28">
      <c r="A38" s="272">
        <v>37</v>
      </c>
      <c r="B38" s="272" t="s">
        <v>155</v>
      </c>
      <c r="C38" s="272">
        <v>417868870</v>
      </c>
      <c r="D38" s="272">
        <v>55</v>
      </c>
      <c r="E38" s="273">
        <v>5500</v>
      </c>
      <c r="F38" s="275" t="s">
        <v>262</v>
      </c>
      <c r="G38" s="273"/>
      <c r="H38" s="273"/>
      <c r="I38" s="277"/>
      <c r="J38" s="277"/>
      <c r="K38" s="277"/>
      <c r="L38" s="277"/>
      <c r="M38" s="277"/>
      <c r="N38" s="277"/>
      <c r="O38" s="277"/>
      <c r="P38" s="277"/>
      <c r="Q38" s="277"/>
      <c r="R38" s="277"/>
      <c r="S38" s="277"/>
      <c r="T38" s="277"/>
      <c r="U38" s="277"/>
      <c r="V38" s="277"/>
      <c r="W38" s="277"/>
      <c r="X38" s="277"/>
      <c r="Y38" s="277"/>
      <c r="Z38" s="277"/>
      <c r="AA38" s="277"/>
      <c r="AB38" s="277"/>
    </row>
    <row r="39" ht="23.25" customHeight="1" spans="1:28">
      <c r="A39" s="272">
        <v>38</v>
      </c>
      <c r="B39" s="273" t="s">
        <v>139</v>
      </c>
      <c r="C39" s="273">
        <v>242739321</v>
      </c>
      <c r="D39" s="272">
        <v>55</v>
      </c>
      <c r="E39" s="273">
        <v>5500</v>
      </c>
      <c r="F39" s="275" t="s">
        <v>263</v>
      </c>
      <c r="G39" s="273"/>
      <c r="H39" s="273"/>
      <c r="I39" s="277"/>
      <c r="J39" s="277"/>
      <c r="K39" s="277"/>
      <c r="L39" s="277"/>
      <c r="M39" s="277"/>
      <c r="N39" s="277"/>
      <c r="O39" s="277"/>
      <c r="P39" s="277"/>
      <c r="Q39" s="277"/>
      <c r="R39" s="277"/>
      <c r="S39" s="277"/>
      <c r="T39" s="277"/>
      <c r="U39" s="277"/>
      <c r="V39" s="277"/>
      <c r="W39" s="277"/>
      <c r="X39" s="277"/>
      <c r="Y39" s="277"/>
      <c r="Z39" s="277"/>
      <c r="AA39" s="277"/>
      <c r="AB39" s="277"/>
    </row>
    <row r="40" ht="23.25" customHeight="1" spans="1:28">
      <c r="A40" s="272">
        <v>39</v>
      </c>
      <c r="B40" s="272" t="s">
        <v>162</v>
      </c>
      <c r="C40" s="272">
        <v>140389337</v>
      </c>
      <c r="D40" s="272">
        <v>54</v>
      </c>
      <c r="E40" s="273">
        <v>5000</v>
      </c>
      <c r="F40" s="275" t="s">
        <v>264</v>
      </c>
      <c r="G40" s="273"/>
      <c r="H40" s="273"/>
      <c r="I40" s="277"/>
      <c r="J40" s="277"/>
      <c r="K40" s="277"/>
      <c r="L40" s="277"/>
      <c r="M40" s="277"/>
      <c r="N40" s="277"/>
      <c r="O40" s="277"/>
      <c r="P40" s="277"/>
      <c r="Q40" s="277"/>
      <c r="R40" s="277"/>
      <c r="S40" s="277"/>
      <c r="T40" s="277"/>
      <c r="U40" s="277"/>
      <c r="V40" s="277"/>
      <c r="W40" s="277"/>
      <c r="X40" s="277"/>
      <c r="Y40" s="277"/>
      <c r="Z40" s="277"/>
      <c r="AA40" s="277"/>
      <c r="AB40" s="277"/>
    </row>
    <row r="41" ht="23.25" customHeight="1" spans="1:28">
      <c r="A41" s="272">
        <v>40</v>
      </c>
      <c r="B41" s="272" t="s">
        <v>100</v>
      </c>
      <c r="C41" s="272">
        <v>189497913</v>
      </c>
      <c r="D41" s="272">
        <v>53</v>
      </c>
      <c r="E41" s="273">
        <v>5300</v>
      </c>
      <c r="F41" s="275" t="s">
        <v>241</v>
      </c>
      <c r="G41" s="273">
        <v>0</v>
      </c>
      <c r="H41" s="273" t="s">
        <v>164</v>
      </c>
      <c r="I41" s="277"/>
      <c r="J41" s="277"/>
      <c r="K41" s="277"/>
      <c r="L41" s="277"/>
      <c r="M41" s="277"/>
      <c r="N41" s="277"/>
      <c r="O41" s="277"/>
      <c r="P41" s="277"/>
      <c r="Q41" s="277"/>
      <c r="R41" s="277"/>
      <c r="S41" s="277"/>
      <c r="T41" s="277"/>
      <c r="U41" s="277"/>
      <c r="V41" s="277"/>
      <c r="W41" s="277"/>
      <c r="X41" s="277"/>
      <c r="Y41" s="277"/>
      <c r="Z41" s="277"/>
      <c r="AA41" s="277"/>
      <c r="AB41" s="277"/>
    </row>
    <row r="42" ht="23.25" customHeight="1" spans="1:28">
      <c r="A42" s="272">
        <v>41</v>
      </c>
      <c r="B42" s="272" t="s">
        <v>142</v>
      </c>
      <c r="C42" s="272">
        <v>208333479</v>
      </c>
      <c r="D42" s="272">
        <v>52</v>
      </c>
      <c r="E42" s="273">
        <v>5800</v>
      </c>
      <c r="F42" s="275" t="s">
        <v>248</v>
      </c>
      <c r="G42" s="273">
        <v>1</v>
      </c>
      <c r="H42" s="276" t="s">
        <v>167</v>
      </c>
      <c r="I42" s="277"/>
      <c r="J42" s="277"/>
      <c r="K42" s="277"/>
      <c r="L42" s="277"/>
      <c r="M42" s="277"/>
      <c r="N42" s="277"/>
      <c r="O42" s="277"/>
      <c r="P42" s="277"/>
      <c r="Q42" s="277"/>
      <c r="R42" s="277"/>
      <c r="S42" s="277"/>
      <c r="T42" s="277"/>
      <c r="U42" s="277"/>
      <c r="V42" s="277"/>
      <c r="W42" s="277"/>
      <c r="X42" s="277"/>
      <c r="Y42" s="277"/>
      <c r="Z42" s="277"/>
      <c r="AA42" s="277"/>
      <c r="AB42" s="277"/>
    </row>
    <row r="43" ht="23.25" customHeight="1" spans="1:28">
      <c r="A43" s="272">
        <v>42</v>
      </c>
      <c r="B43" s="272" t="s">
        <v>117</v>
      </c>
      <c r="C43" s="272">
        <v>140594695</v>
      </c>
      <c r="D43" s="272">
        <v>50</v>
      </c>
      <c r="E43" s="273">
        <v>4900</v>
      </c>
      <c r="F43" s="275" t="s">
        <v>265</v>
      </c>
      <c r="G43" s="273">
        <v>2</v>
      </c>
      <c r="H43" s="276" t="s">
        <v>169</v>
      </c>
      <c r="I43" s="277"/>
      <c r="J43" s="277"/>
      <c r="K43" s="277"/>
      <c r="L43" s="277"/>
      <c r="M43" s="277"/>
      <c r="N43" s="277"/>
      <c r="O43" s="277"/>
      <c r="P43" s="277"/>
      <c r="Q43" s="277"/>
      <c r="R43" s="277"/>
      <c r="S43" s="277"/>
      <c r="T43" s="277"/>
      <c r="U43" s="277"/>
      <c r="V43" s="277"/>
      <c r="W43" s="277"/>
      <c r="X43" s="277"/>
      <c r="Y43" s="277"/>
      <c r="Z43" s="277"/>
      <c r="AA43" s="277"/>
      <c r="AB43" s="277"/>
    </row>
    <row r="44" ht="23.25" customHeight="1" spans="1:28">
      <c r="A44" s="272">
        <v>43</v>
      </c>
      <c r="B44" s="272" t="s">
        <v>138</v>
      </c>
      <c r="C44" s="272">
        <v>178988576</v>
      </c>
      <c r="D44" s="272">
        <v>50</v>
      </c>
      <c r="E44" s="273">
        <v>5000</v>
      </c>
      <c r="F44" s="275" t="s">
        <v>231</v>
      </c>
      <c r="G44" s="273">
        <v>0</v>
      </c>
      <c r="H44" s="273" t="s">
        <v>173</v>
      </c>
      <c r="I44" s="277"/>
      <c r="J44" s="277"/>
      <c r="K44" s="277"/>
      <c r="L44" s="277"/>
      <c r="M44" s="277"/>
      <c r="N44" s="277"/>
      <c r="O44" s="277"/>
      <c r="P44" s="277"/>
      <c r="Q44" s="277"/>
      <c r="R44" s="277"/>
      <c r="S44" s="277"/>
      <c r="T44" s="277"/>
      <c r="U44" s="277"/>
      <c r="V44" s="277"/>
      <c r="W44" s="277"/>
      <c r="X44" s="277"/>
      <c r="Y44" s="277"/>
      <c r="Z44" s="277"/>
      <c r="AA44" s="277"/>
      <c r="AB44" s="277"/>
    </row>
    <row r="45" ht="23.25" customHeight="1" spans="1:28">
      <c r="A45" s="272">
        <v>44</v>
      </c>
      <c r="B45" s="272" t="s">
        <v>170</v>
      </c>
      <c r="C45" s="272">
        <v>136537289</v>
      </c>
      <c r="D45" s="272">
        <v>50</v>
      </c>
      <c r="E45" s="273">
        <v>5000</v>
      </c>
      <c r="F45" s="275" t="s">
        <v>229</v>
      </c>
      <c r="G45" s="273">
        <v>0</v>
      </c>
      <c r="H45" s="276" t="s">
        <v>266</v>
      </c>
      <c r="I45" s="277"/>
      <c r="J45" s="277"/>
      <c r="K45" s="277"/>
      <c r="L45" s="277"/>
      <c r="M45" s="277"/>
      <c r="N45" s="277"/>
      <c r="O45" s="277"/>
      <c r="P45" s="277"/>
      <c r="Q45" s="277"/>
      <c r="R45" s="277"/>
      <c r="S45" s="277"/>
      <c r="T45" s="277"/>
      <c r="U45" s="277"/>
      <c r="V45" s="277"/>
      <c r="W45" s="277"/>
      <c r="X45" s="277"/>
      <c r="Y45" s="277"/>
      <c r="Z45" s="277"/>
      <c r="AA45" s="277"/>
      <c r="AB45" s="277"/>
    </row>
    <row r="46" ht="23.25" customHeight="1" spans="1:28">
      <c r="A46" s="272">
        <v>45</v>
      </c>
      <c r="B46" s="272" t="s">
        <v>124</v>
      </c>
      <c r="C46" s="272">
        <v>320479234</v>
      </c>
      <c r="D46" s="272">
        <v>45</v>
      </c>
      <c r="E46" s="273">
        <v>4990</v>
      </c>
      <c r="F46" s="275" t="s">
        <v>261</v>
      </c>
      <c r="G46" s="273">
        <v>2</v>
      </c>
      <c r="H46" s="273" t="s">
        <v>176</v>
      </c>
      <c r="I46" s="277"/>
      <c r="J46" s="277"/>
      <c r="K46" s="277"/>
      <c r="L46" s="277"/>
      <c r="M46" s="277"/>
      <c r="N46" s="277"/>
      <c r="O46" s="277"/>
      <c r="P46" s="277"/>
      <c r="Q46" s="277"/>
      <c r="R46" s="277"/>
      <c r="S46" s="277"/>
      <c r="T46" s="277"/>
      <c r="U46" s="277"/>
      <c r="V46" s="277"/>
      <c r="W46" s="277"/>
      <c r="X46" s="277"/>
      <c r="Y46" s="277"/>
      <c r="Z46" s="277"/>
      <c r="AA46" s="277"/>
      <c r="AB46" s="277"/>
    </row>
    <row r="47" ht="23.25" customHeight="1" spans="1:28">
      <c r="A47" s="272">
        <v>46</v>
      </c>
      <c r="B47" s="272" t="s">
        <v>95</v>
      </c>
      <c r="C47" s="272">
        <v>141166215</v>
      </c>
      <c r="D47" s="272">
        <v>45</v>
      </c>
      <c r="E47" s="273">
        <v>4500</v>
      </c>
      <c r="F47" s="275" t="s">
        <v>267</v>
      </c>
      <c r="G47" s="273">
        <v>0</v>
      </c>
      <c r="H47" s="276" t="s">
        <v>177</v>
      </c>
      <c r="I47" s="277"/>
      <c r="J47" s="277"/>
      <c r="K47" s="277"/>
      <c r="L47" s="277"/>
      <c r="M47" s="277"/>
      <c r="N47" s="277"/>
      <c r="O47" s="277"/>
      <c r="P47" s="277"/>
      <c r="Q47" s="277"/>
      <c r="R47" s="277"/>
      <c r="S47" s="277"/>
      <c r="T47" s="277"/>
      <c r="U47" s="277"/>
      <c r="V47" s="277"/>
      <c r="W47" s="277"/>
      <c r="X47" s="277"/>
      <c r="Y47" s="277"/>
      <c r="Z47" s="277"/>
      <c r="AA47" s="277"/>
      <c r="AB47" s="277"/>
    </row>
    <row r="48" s="268" customFormat="1" ht="23.25" customHeight="1" spans="1:28">
      <c r="A48" s="272">
        <v>47</v>
      </c>
      <c r="B48" s="272" t="s">
        <v>123</v>
      </c>
      <c r="C48" s="272">
        <v>370449300</v>
      </c>
      <c r="D48" s="272">
        <v>44</v>
      </c>
      <c r="E48" s="273">
        <v>4500</v>
      </c>
      <c r="F48" s="275" t="s">
        <v>231</v>
      </c>
      <c r="G48" s="273">
        <v>0</v>
      </c>
      <c r="H48" s="273" t="s">
        <v>178</v>
      </c>
      <c r="I48" s="278"/>
      <c r="J48" s="278"/>
      <c r="K48" s="278"/>
      <c r="L48" s="278"/>
      <c r="M48" s="278"/>
      <c r="N48" s="278"/>
      <c r="O48" s="278"/>
      <c r="P48" s="278"/>
      <c r="Q48" s="278"/>
      <c r="R48" s="278"/>
      <c r="S48" s="278"/>
      <c r="T48" s="278"/>
      <c r="U48" s="278"/>
      <c r="V48" s="278"/>
      <c r="W48" s="278"/>
      <c r="X48" s="278"/>
      <c r="Y48" s="278"/>
      <c r="Z48" s="278"/>
      <c r="AA48" s="278"/>
      <c r="AB48" s="278"/>
    </row>
    <row r="49" ht="23.25" customHeight="1" spans="1:28">
      <c r="A49" s="272">
        <v>48</v>
      </c>
      <c r="B49" s="272" t="s">
        <v>99</v>
      </c>
      <c r="C49" s="272">
        <v>138720710</v>
      </c>
      <c r="D49" s="272">
        <v>44</v>
      </c>
      <c r="E49" s="273">
        <v>3800</v>
      </c>
      <c r="F49" s="275" t="s">
        <v>89</v>
      </c>
      <c r="G49" s="273">
        <v>2</v>
      </c>
      <c r="H49" s="273" t="s">
        <v>181</v>
      </c>
      <c r="I49" s="277"/>
      <c r="J49" s="277"/>
      <c r="K49" s="277"/>
      <c r="L49" s="277"/>
      <c r="M49" s="277"/>
      <c r="N49" s="277"/>
      <c r="O49" s="277"/>
      <c r="P49" s="277"/>
      <c r="Q49" s="277"/>
      <c r="R49" s="277"/>
      <c r="S49" s="277"/>
      <c r="T49" s="277"/>
      <c r="U49" s="277"/>
      <c r="V49" s="277"/>
      <c r="W49" s="277"/>
      <c r="X49" s="277"/>
      <c r="Y49" s="277"/>
      <c r="Z49" s="277"/>
      <c r="AA49" s="277"/>
      <c r="AB49" s="277"/>
    </row>
    <row r="50" ht="23.25" customHeight="1" spans="1:28">
      <c r="A50" s="272">
        <v>49</v>
      </c>
      <c r="B50" s="272" t="s">
        <v>159</v>
      </c>
      <c r="C50" s="272">
        <v>101126670</v>
      </c>
      <c r="D50" s="272">
        <v>42</v>
      </c>
      <c r="E50" s="273">
        <v>3900</v>
      </c>
      <c r="F50" s="275" t="s">
        <v>268</v>
      </c>
      <c r="G50" s="273">
        <v>0</v>
      </c>
      <c r="H50" s="273" t="s">
        <v>183</v>
      </c>
      <c r="I50" s="277"/>
      <c r="J50" s="277"/>
      <c r="K50" s="277"/>
      <c r="L50" s="277"/>
      <c r="M50" s="277"/>
      <c r="N50" s="277"/>
      <c r="O50" s="277"/>
      <c r="P50" s="277"/>
      <c r="Q50" s="277"/>
      <c r="R50" s="277"/>
      <c r="S50" s="277"/>
      <c r="T50" s="277"/>
      <c r="U50" s="277"/>
      <c r="V50" s="277"/>
      <c r="W50" s="277"/>
      <c r="X50" s="277"/>
      <c r="Y50" s="277"/>
      <c r="Z50" s="277"/>
      <c r="AA50" s="277"/>
      <c r="AB50" s="277"/>
    </row>
    <row r="51" ht="23.25" customHeight="1" spans="1:28">
      <c r="A51" s="272">
        <v>50</v>
      </c>
      <c r="B51" s="272" t="s">
        <v>160</v>
      </c>
      <c r="C51" s="272">
        <v>148343069</v>
      </c>
      <c r="D51" s="272">
        <v>40</v>
      </c>
      <c r="E51" s="273">
        <v>4000</v>
      </c>
      <c r="F51" s="275" t="s">
        <v>243</v>
      </c>
      <c r="G51" s="273">
        <v>0</v>
      </c>
      <c r="H51" s="273" t="s">
        <v>186</v>
      </c>
      <c r="I51" s="277"/>
      <c r="J51" s="277"/>
      <c r="K51" s="277"/>
      <c r="L51" s="277"/>
      <c r="M51" s="277"/>
      <c r="N51" s="277"/>
      <c r="O51" s="277"/>
      <c r="P51" s="277"/>
      <c r="Q51" s="277"/>
      <c r="R51" s="277"/>
      <c r="S51" s="277"/>
      <c r="T51" s="277"/>
      <c r="U51" s="277"/>
      <c r="V51" s="277"/>
      <c r="W51" s="277"/>
      <c r="X51" s="277"/>
      <c r="Y51" s="277"/>
      <c r="Z51" s="277"/>
      <c r="AA51" s="277"/>
      <c r="AB51" s="277"/>
    </row>
    <row r="52" ht="23.25" customHeight="1" spans="1:28">
      <c r="A52" s="272">
        <v>51</v>
      </c>
      <c r="B52" s="272" t="s">
        <v>184</v>
      </c>
      <c r="C52" s="272">
        <v>351772086</v>
      </c>
      <c r="D52" s="272">
        <v>40</v>
      </c>
      <c r="E52" s="273">
        <v>3000</v>
      </c>
      <c r="F52" s="275" t="s">
        <v>238</v>
      </c>
      <c r="G52" s="273">
        <v>1</v>
      </c>
      <c r="H52" s="273" t="s">
        <v>185</v>
      </c>
      <c r="I52" s="277"/>
      <c r="J52" s="277"/>
      <c r="K52" s="277"/>
      <c r="L52" s="277"/>
      <c r="M52" s="277"/>
      <c r="N52" s="277"/>
      <c r="O52" s="277"/>
      <c r="P52" s="277"/>
      <c r="Q52" s="277"/>
      <c r="R52" s="277"/>
      <c r="S52" s="277"/>
      <c r="T52" s="277"/>
      <c r="U52" s="277"/>
      <c r="V52" s="277"/>
      <c r="W52" s="277"/>
      <c r="X52" s="277"/>
      <c r="Y52" s="277"/>
      <c r="Z52" s="277"/>
      <c r="AA52" s="277"/>
      <c r="AB52" s="277"/>
    </row>
    <row r="53" ht="23.25" customHeight="1" spans="1:28">
      <c r="A53" s="272">
        <v>52</v>
      </c>
      <c r="B53" s="272" t="s">
        <v>157</v>
      </c>
      <c r="C53" s="272">
        <v>168661508</v>
      </c>
      <c r="D53" s="272">
        <v>34</v>
      </c>
      <c r="E53" s="273">
        <v>3400</v>
      </c>
      <c r="F53" s="275" t="s">
        <v>261</v>
      </c>
      <c r="G53" s="273">
        <v>0</v>
      </c>
      <c r="H53" s="273" t="s">
        <v>189</v>
      </c>
      <c r="I53" s="277"/>
      <c r="J53" s="277"/>
      <c r="K53" s="277"/>
      <c r="L53" s="277"/>
      <c r="M53" s="277"/>
      <c r="N53" s="277"/>
      <c r="O53" s="277"/>
      <c r="P53" s="277"/>
      <c r="Q53" s="277"/>
      <c r="R53" s="277"/>
      <c r="S53" s="277"/>
      <c r="T53" s="277"/>
      <c r="U53" s="277"/>
      <c r="V53" s="277"/>
      <c r="W53" s="277"/>
      <c r="X53" s="277"/>
      <c r="Y53" s="277"/>
      <c r="Z53" s="277"/>
      <c r="AA53" s="277"/>
      <c r="AB53" s="277"/>
    </row>
    <row r="54" ht="23.25" customHeight="1" spans="1:28">
      <c r="A54" s="271">
        <v>53</v>
      </c>
      <c r="B54" s="271" t="s">
        <v>179</v>
      </c>
      <c r="C54" s="271">
        <v>400294058</v>
      </c>
      <c r="D54" s="271">
        <v>34</v>
      </c>
      <c r="E54" s="271">
        <v>4000</v>
      </c>
      <c r="F54" s="274" t="s">
        <v>261</v>
      </c>
      <c r="G54" s="271">
        <v>0</v>
      </c>
      <c r="H54" s="271">
        <v>0</v>
      </c>
      <c r="I54" s="277"/>
      <c r="J54" s="277"/>
      <c r="K54" s="277"/>
      <c r="L54" s="277"/>
      <c r="M54" s="277"/>
      <c r="N54" s="277"/>
      <c r="O54" s="277"/>
      <c r="P54" s="277"/>
      <c r="Q54" s="277"/>
      <c r="R54" s="277"/>
      <c r="S54" s="277"/>
      <c r="T54" s="277"/>
      <c r="U54" s="277"/>
      <c r="V54" s="277"/>
      <c r="W54" s="277"/>
      <c r="X54" s="277"/>
      <c r="Y54" s="277"/>
      <c r="Z54" s="277"/>
      <c r="AA54" s="277"/>
      <c r="AB54" s="277"/>
    </row>
    <row r="55" ht="23.25" customHeight="1" spans="1:28">
      <c r="A55" s="272">
        <v>54</v>
      </c>
      <c r="B55" s="272" t="s">
        <v>144</v>
      </c>
      <c r="C55" s="272">
        <v>124599786</v>
      </c>
      <c r="D55" s="272">
        <v>33</v>
      </c>
      <c r="E55" s="273">
        <v>3300</v>
      </c>
      <c r="F55" s="275" t="s">
        <v>267</v>
      </c>
      <c r="G55" s="273">
        <v>0</v>
      </c>
      <c r="H55" s="273" t="s">
        <v>191</v>
      </c>
      <c r="I55" s="277"/>
      <c r="J55" s="277"/>
      <c r="K55" s="277"/>
      <c r="L55" s="277"/>
      <c r="M55" s="277"/>
      <c r="N55" s="277"/>
      <c r="O55" s="277"/>
      <c r="P55" s="277"/>
      <c r="Q55" s="277"/>
      <c r="R55" s="277"/>
      <c r="S55" s="277"/>
      <c r="T55" s="277"/>
      <c r="U55" s="277"/>
      <c r="V55" s="277"/>
      <c r="W55" s="277"/>
      <c r="X55" s="277"/>
      <c r="Y55" s="277"/>
      <c r="Z55" s="277"/>
      <c r="AA55" s="277"/>
      <c r="AB55" s="277"/>
    </row>
    <row r="56" ht="23.25" customHeight="1" spans="1:28">
      <c r="A56" s="272">
        <v>55</v>
      </c>
      <c r="B56" s="272" t="s">
        <v>188</v>
      </c>
      <c r="C56" s="272">
        <v>137784091</v>
      </c>
      <c r="D56" s="272">
        <v>32</v>
      </c>
      <c r="E56" s="273">
        <v>3200</v>
      </c>
      <c r="F56" s="275" t="s">
        <v>261</v>
      </c>
      <c r="G56" s="273">
        <v>0</v>
      </c>
      <c r="H56" s="273" t="s">
        <v>192</v>
      </c>
      <c r="I56" s="277"/>
      <c r="J56" s="277"/>
      <c r="K56" s="277"/>
      <c r="L56" s="277"/>
      <c r="M56" s="277"/>
      <c r="N56" s="277"/>
      <c r="O56" s="277"/>
      <c r="P56" s="277"/>
      <c r="Q56" s="277"/>
      <c r="R56" s="277"/>
      <c r="S56" s="277"/>
      <c r="T56" s="277"/>
      <c r="U56" s="277"/>
      <c r="V56" s="277"/>
      <c r="W56" s="277"/>
      <c r="X56" s="277"/>
      <c r="Y56" s="277"/>
      <c r="Z56" s="277"/>
      <c r="AA56" s="277"/>
      <c r="AB56" s="277"/>
    </row>
    <row r="57" ht="23.25" customHeight="1" spans="1:28">
      <c r="A57" s="272">
        <v>56</v>
      </c>
      <c r="B57" s="272" t="s">
        <v>174</v>
      </c>
      <c r="C57" s="272">
        <v>245304772</v>
      </c>
      <c r="D57" s="272">
        <v>30</v>
      </c>
      <c r="E57" s="273">
        <v>3646</v>
      </c>
      <c r="F57" s="275" t="s">
        <v>261</v>
      </c>
      <c r="G57" s="273">
        <v>0</v>
      </c>
      <c r="H57" s="273" t="s">
        <v>194</v>
      </c>
      <c r="I57" s="277"/>
      <c r="J57" s="277"/>
      <c r="K57" s="277"/>
      <c r="L57" s="277"/>
      <c r="M57" s="277"/>
      <c r="N57" s="277"/>
      <c r="O57" s="277"/>
      <c r="P57" s="277"/>
      <c r="Q57" s="277"/>
      <c r="R57" s="277"/>
      <c r="S57" s="277"/>
      <c r="T57" s="277"/>
      <c r="U57" s="277"/>
      <c r="V57" s="277"/>
      <c r="W57" s="277"/>
      <c r="X57" s="277"/>
      <c r="Y57" s="277"/>
      <c r="Z57" s="277"/>
      <c r="AA57" s="277"/>
      <c r="AB57" s="277"/>
    </row>
    <row r="58" ht="23.25" customHeight="1" spans="1:28">
      <c r="A58" s="272">
        <v>57</v>
      </c>
      <c r="B58" s="272" t="s">
        <v>94</v>
      </c>
      <c r="C58" s="272">
        <v>136636318</v>
      </c>
      <c r="D58" s="272">
        <v>30</v>
      </c>
      <c r="E58" s="273">
        <v>3000</v>
      </c>
      <c r="F58" s="275" t="s">
        <v>89</v>
      </c>
      <c r="G58" s="273">
        <v>0</v>
      </c>
      <c r="H58" s="273" t="s">
        <v>193</v>
      </c>
      <c r="I58" s="277"/>
      <c r="J58" s="277"/>
      <c r="K58" s="277"/>
      <c r="L58" s="277"/>
      <c r="M58" s="277"/>
      <c r="N58" s="277"/>
      <c r="O58" s="277"/>
      <c r="P58" s="277"/>
      <c r="Q58" s="277"/>
      <c r="R58" s="277"/>
      <c r="S58" s="277"/>
      <c r="T58" s="277"/>
      <c r="U58" s="277"/>
      <c r="V58" s="277"/>
      <c r="W58" s="277"/>
      <c r="X58" s="277"/>
      <c r="Y58" s="277"/>
      <c r="Z58" s="277"/>
      <c r="AA58" s="277"/>
      <c r="AB58" s="277"/>
    </row>
    <row r="59" ht="23.25" customHeight="1" spans="1:28">
      <c r="A59" s="271">
        <v>58</v>
      </c>
      <c r="B59" s="271" t="s">
        <v>180</v>
      </c>
      <c r="C59" s="271">
        <v>144220785</v>
      </c>
      <c r="D59" s="271">
        <v>30</v>
      </c>
      <c r="E59" s="271">
        <v>3000</v>
      </c>
      <c r="F59" s="274" t="s">
        <v>76</v>
      </c>
      <c r="G59" s="271">
        <v>0</v>
      </c>
      <c r="H59" s="271">
        <v>0</v>
      </c>
      <c r="I59" s="277"/>
      <c r="J59" s="277"/>
      <c r="K59" s="277"/>
      <c r="L59" s="277"/>
      <c r="M59" s="277"/>
      <c r="N59" s="277"/>
      <c r="O59" s="277"/>
      <c r="P59" s="277"/>
      <c r="Q59" s="277"/>
      <c r="R59" s="277"/>
      <c r="S59" s="277"/>
      <c r="T59" s="277"/>
      <c r="U59" s="277"/>
      <c r="V59" s="277"/>
      <c r="W59" s="277"/>
      <c r="X59" s="277"/>
      <c r="Y59" s="277"/>
      <c r="Z59" s="277"/>
      <c r="AA59" s="277"/>
      <c r="AB59" s="277"/>
    </row>
    <row r="60" ht="23.25" customHeight="1" spans="1:28">
      <c r="A60" s="272">
        <v>59</v>
      </c>
      <c r="B60" s="272" t="s">
        <v>143</v>
      </c>
      <c r="C60" s="272">
        <v>283980539</v>
      </c>
      <c r="D60" s="272">
        <v>28</v>
      </c>
      <c r="E60" s="273">
        <v>2000</v>
      </c>
      <c r="F60" s="275" t="s">
        <v>269</v>
      </c>
      <c r="G60" s="273">
        <v>2</v>
      </c>
      <c r="H60" s="273" t="s">
        <v>198</v>
      </c>
      <c r="I60" s="277"/>
      <c r="J60" s="277"/>
      <c r="K60" s="277"/>
      <c r="L60" s="277"/>
      <c r="M60" s="277"/>
      <c r="N60" s="277"/>
      <c r="O60" s="277"/>
      <c r="P60" s="277"/>
      <c r="Q60" s="277"/>
      <c r="R60" s="277"/>
      <c r="S60" s="277"/>
      <c r="T60" s="277"/>
      <c r="U60" s="277"/>
      <c r="V60" s="277"/>
      <c r="W60" s="277"/>
      <c r="X60" s="277"/>
      <c r="Y60" s="277"/>
      <c r="Z60" s="277"/>
      <c r="AA60" s="277"/>
      <c r="AB60" s="277"/>
    </row>
    <row r="61" ht="23.25" customHeight="1" spans="1:28">
      <c r="A61" s="272">
        <v>60</v>
      </c>
      <c r="B61" s="272" t="s">
        <v>187</v>
      </c>
      <c r="C61" s="272">
        <v>449128986</v>
      </c>
      <c r="D61" s="272">
        <v>28</v>
      </c>
      <c r="E61" s="273">
        <v>2900</v>
      </c>
      <c r="F61" s="275" t="s">
        <v>259</v>
      </c>
      <c r="G61" s="273">
        <v>0</v>
      </c>
      <c r="H61" s="273" t="s">
        <v>196</v>
      </c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</row>
    <row r="62" ht="23.25" customHeight="1"/>
    <row r="63" ht="23.25" customHeight="1"/>
    <row r="64" ht="23.25" customHeight="1"/>
    <row r="65" ht="23.25" customHeight="1"/>
    <row r="66" ht="23.25" customHeight="1"/>
    <row r="67" ht="23.25" customHeight="1"/>
    <row r="68" ht="23.25" customHeight="1"/>
    <row r="69" ht="23.25" customHeight="1"/>
    <row r="70" ht="23.25" customHeight="1"/>
    <row r="71" ht="23.25" customHeight="1"/>
    <row r="72" ht="23.25" customHeight="1"/>
    <row r="73" ht="23.25" customHeight="1"/>
    <row r="74" ht="23.25" customHeight="1"/>
    <row r="75" ht="23.25" customHeight="1"/>
    <row r="76" ht="23.25" customHeight="1"/>
    <row r="77" ht="23.25" customHeight="1"/>
    <row r="78" ht="23.25" customHeight="1"/>
    <row r="79" ht="23.25" customHeight="1"/>
    <row r="80" ht="23.25" customHeight="1"/>
    <row r="81" ht="23.25" customHeight="1"/>
    <row r="82" ht="23.25" customHeight="1"/>
    <row r="83" ht="23.25" customHeight="1"/>
    <row r="84" ht="23.25" customHeight="1"/>
    <row r="85" ht="23.25" customHeight="1"/>
    <row r="86" ht="23.25" customHeight="1"/>
    <row r="87" ht="23.25" customHeight="1"/>
    <row r="88" ht="23.25" customHeight="1"/>
    <row r="89" ht="23.25" customHeight="1"/>
    <row r="90" ht="23.25" customHeight="1"/>
    <row r="91" ht="23.25" customHeight="1"/>
    <row r="92" ht="23.25" customHeight="1"/>
    <row r="93" ht="23.25" customHeight="1"/>
    <row r="94" ht="23.25" customHeight="1"/>
    <row r="95" ht="23.25" customHeight="1"/>
    <row r="96" ht="23.25" customHeight="1"/>
    <row r="97" ht="23.25" customHeight="1"/>
    <row r="98" ht="23.25" customHeight="1"/>
    <row r="99" ht="23.25" customHeight="1"/>
    <row r="100" ht="23.25" customHeight="1"/>
    <row r="101" ht="23.25" customHeight="1"/>
    <row r="102" ht="23.25" customHeight="1"/>
    <row r="103" ht="23.25" customHeight="1"/>
    <row r="104" ht="23.25" customHeight="1"/>
    <row r="105" ht="23.25" customHeight="1"/>
    <row r="106" ht="23.25" customHeight="1"/>
    <row r="107" ht="23.25" customHeight="1"/>
    <row r="108" ht="23.25" customHeight="1"/>
    <row r="109" ht="23.25" customHeight="1"/>
    <row r="110" ht="23.25" customHeight="1"/>
    <row r="111" ht="23.25" customHeight="1"/>
    <row r="112" ht="23.25" customHeight="1"/>
    <row r="113" ht="23.25" customHeight="1"/>
    <row r="114" ht="23.25" customHeight="1"/>
    <row r="115" ht="23.25" customHeight="1"/>
    <row r="116" ht="23.25" customHeight="1"/>
    <row r="117" ht="23.25" customHeight="1"/>
    <row r="118" ht="23.25" customHeight="1"/>
    <row r="119" ht="23.25" customHeight="1"/>
    <row r="120" ht="23.25" customHeight="1"/>
    <row r="121" ht="23.25" customHeight="1"/>
    <row r="122" ht="23.25" customHeight="1"/>
    <row r="123" ht="23.25" customHeight="1"/>
    <row r="124" ht="23.25" customHeight="1"/>
    <row r="125" ht="23.25" customHeight="1"/>
    <row r="126" ht="23.25" customHeight="1"/>
    <row r="127" ht="23.25" customHeight="1"/>
    <row r="128" ht="23.25" customHeight="1"/>
    <row r="129" ht="23.25" customHeight="1"/>
    <row r="130" ht="23.25" customHeight="1"/>
    <row r="131" ht="23.25" customHeight="1"/>
    <row r="132" ht="23.25" customHeight="1"/>
    <row r="133" ht="23.25" customHeight="1"/>
    <row r="134" ht="23.25" customHeight="1"/>
    <row r="135" ht="23.25" customHeight="1"/>
    <row r="136" ht="23.25" customHeight="1"/>
    <row r="137" ht="23.25" customHeight="1"/>
    <row r="138" ht="23.25" customHeight="1"/>
    <row r="139" ht="23.25" customHeight="1"/>
    <row r="140" ht="23.25" customHeight="1"/>
    <row r="141" ht="23.25" customHeight="1"/>
    <row r="142" ht="23.25" customHeight="1"/>
    <row r="143" ht="23.25" customHeight="1"/>
    <row r="144" ht="23.25" customHeight="1"/>
    <row r="145" ht="23.25" customHeight="1"/>
    <row r="146" ht="23.25" customHeight="1"/>
    <row r="147" ht="23.25" customHeight="1"/>
    <row r="148" ht="23.25" customHeight="1"/>
    <row r="149" ht="23.25" customHeight="1"/>
    <row r="150" ht="23.25" customHeight="1"/>
    <row r="151" ht="23.25" customHeight="1"/>
    <row r="152" ht="23.25" customHeight="1"/>
    <row r="153" ht="23.25" customHeight="1"/>
    <row r="154" ht="23.25" customHeight="1"/>
    <row r="155" ht="23.25" customHeight="1"/>
    <row r="156" ht="23.25" customHeight="1"/>
    <row r="157" ht="23.25" customHeight="1"/>
    <row r="158" ht="23.25" customHeight="1"/>
    <row r="159" ht="23.25" customHeight="1"/>
    <row r="160" ht="23.25" customHeight="1"/>
    <row r="161" ht="23.25" customHeight="1"/>
    <row r="162" ht="23.25" customHeight="1"/>
    <row r="163" ht="23.25" customHeight="1"/>
    <row r="164" ht="23.25" customHeight="1"/>
    <row r="165" ht="23.25" customHeight="1"/>
    <row r="166" ht="23.25" customHeight="1"/>
    <row r="167" ht="23.25" customHeight="1"/>
    <row r="168" ht="23.25" customHeight="1"/>
    <row r="169" ht="23.25" customHeight="1"/>
    <row r="170" ht="23.25" customHeight="1"/>
    <row r="171" ht="23.25" customHeight="1"/>
    <row r="172" ht="23.25" customHeight="1"/>
    <row r="173" ht="23.25" customHeight="1"/>
    <row r="174" ht="23.25" customHeight="1"/>
    <row r="175" ht="23.25" customHeight="1"/>
    <row r="176" ht="23.25" customHeight="1"/>
    <row r="177" ht="23.25" customHeight="1"/>
    <row r="178" ht="23.25" customHeight="1"/>
    <row r="179" ht="23.25" customHeight="1"/>
    <row r="180" ht="23.25" customHeight="1"/>
    <row r="181" ht="23.25" customHeight="1"/>
    <row r="182" ht="23.25" customHeight="1"/>
    <row r="183" ht="23.25" customHeight="1"/>
    <row r="184" ht="23.25" customHeight="1"/>
    <row r="185" ht="23.25" customHeight="1"/>
    <row r="186" ht="23.25" customHeight="1"/>
    <row r="187" ht="23.25" customHeight="1"/>
  </sheetData>
  <conditionalFormatting sqref="D1:D18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2"/>
  <dimension ref="A1"/>
  <sheetViews>
    <sheetView workbookViewId="0">
      <selection activeCell="A1" sqref="A1"/>
    </sheetView>
  </sheetViews>
  <sheetFormatPr defaultColWidth="14" defaultRowHeight="18" customHeight="1"/>
  <cols>
    <col min="1" max="1" width="140.28125" customWidth="1"/>
  </cols>
  <sheetData>
    <row r="1" customHeight="1" spans="1:1">
      <c r="A1" s="58" t="s">
        <v>65</v>
      </c>
    </row>
  </sheetData>
  <hyperlinks>
    <hyperlink ref="A1" r:id="rId1" display="🌧️ 微雨杯 S2「醉耀春锋」已开启报名&#10;&#10;衷心感谢尤总、leo、马来王子、廷总、晓锅匠（排名不分先后）慷慨相助，以热忱护热爱，以心意赴赛场，让每一份拼搏都有荣光可赴。&#10;&#10;微雨杯 S2「醉耀春锋」赛制将在S1赛制基础上进行优化升级。确保每个参赛选手获得更公平、更均衡、更有趣的游戏体验。&#10;&#10;🏆 战队名次之赏&#10;🥇 冠军战队&#10;•葡萄白酒🍇🍶×1：以清冽琼浆，敬登顶之荣耀&#10;•智力斗篷挂饰🧙‍♂️×1：以魔法之纹，承运筹之智慧&#10;•自选 DOTA2 冰箱贴🧊×1：以方寸印记，藏赛场之回忆&#10;•队长专属：敦煌福鹿呈祥杯🥂×1：以祥瑞之器，载战队之锋芒&#10;🥈 亚军战队&#10;•智力斗篷挂饰🧙‍♂️×1&#10;•自选 DOTA2 冰箱贴🧊×1&#10;•队长专属：敦煌福鹿呈祥杯🥂×1&#10;🥉 季军战队&#10;•自选 DOTA2 冰箱贴🧊×1&#10;•队长专属：敦煌福鹿呈祥杯🥂×1&#10;&#10;🎙️ 解说专属馈赠&#10;所有解说均可获得解说积分，可兑换各类 DOTA2 周边 🎁&#10;解说小肥羊、苹果君，另赠马来西亚特产巧克力 🍫，以一缕甜意，致谢声声相伴。&#10;&#10;🌟 个人数据殊荣&#10;以数据证锋芒，以坚守换嘉奖。&#10;本赛季各位置佼佼者，将获天府鱼子酱 🥢：&#10;•分均经济最高・一号位  &#10;•分均经验最高・二号位   &#10;•承伤/经济最高・三号位   &#10;•参战最高・四号位    &#10;•助攻最多・五号位&#10;&#10;⚔️ 趣味 SOLO 赛&#10;赛季同期开放SOLO 挑战赛，各路英雄可孤身赴战&#10;胜者将获神秘惊喜奖品，悬念静待揭晓 ✨&#10;愿微雨为伴，举杯共竞；&#10;以热爱为刃，以兄弟为盾，不负每一场奔赴。&#10;&#10;***特别注意：**&#10;1.比赛中禁止嘲讽、压力、辱骂队友与对手，文明竞技，尊重每一位选手。&#10;2.请确认自身时间可正常参赛，尽量避免多次迟到、无故弃赛。&#10;若违反以上规定，上帝有权直接斩杀。&#10;&#10;报名链接：https://wj.qq.com/s2/25994373/df52/&#10;报名前请确保已填写群表格并参与过内战（见群公告）&#10; &#10;更多dota2周边👇&#10;淘宝：微雨dota2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选手名单">
    <tabColor rgb="FF9A38D7"/>
  </sheetPr>
  <dimension ref="A1:I194"/>
  <sheetViews>
    <sheetView workbookViewId="0">
      <pane xSplit="3" ySplit="1" topLeftCell="D4" activePane="bottomRight" state="frozen"/>
      <selection/>
      <selection pane="topRight"/>
      <selection pane="bottomLeft"/>
      <selection pane="bottomRight" activeCell="C15" sqref="C15"/>
    </sheetView>
  </sheetViews>
  <sheetFormatPr defaultColWidth="14" defaultRowHeight="18" customHeight="1"/>
  <cols>
    <col min="1" max="1" width="10.1171875" style="1" customWidth="1"/>
    <col min="2" max="2" width="12.4140625" style="1" customWidth="1"/>
    <col min="3" max="3" width="12.140625" style="1" customWidth="1"/>
    <col min="4" max="4" width="14.0234375" style="1" customWidth="1"/>
    <col min="5" max="5" width="8.359375" style="1" customWidth="1"/>
    <col min="6" max="6" width="10.6484375" style="1" customWidth="1"/>
    <col min="7" max="7" width="23.328125" style="1" customWidth="1"/>
    <col min="8" max="8" width="14.0234375" style="1" customWidth="1"/>
    <col min="9" max="9" width="70.8125" style="1" customWidth="1"/>
    <col min="10" max="26" width="16.7265625" style="1" customWidth="1"/>
  </cols>
  <sheetData>
    <row r="1" ht="31" spans="1:9">
      <c r="A1" s="210"/>
      <c r="B1" s="210" t="s">
        <v>270</v>
      </c>
      <c r="C1" s="210" t="s">
        <v>271</v>
      </c>
      <c r="D1" s="210" t="s">
        <v>272</v>
      </c>
      <c r="E1" s="210" t="s">
        <v>70</v>
      </c>
      <c r="F1" s="210" t="s">
        <v>273</v>
      </c>
      <c r="G1" s="210" t="s">
        <v>226</v>
      </c>
      <c r="H1" s="210" t="s">
        <v>227</v>
      </c>
      <c r="I1" s="210" t="s">
        <v>74</v>
      </c>
    </row>
    <row r="2" ht="27.75" customHeight="1" spans="1:9">
      <c r="A2" s="85"/>
      <c r="B2" s="85" t="s">
        <v>83</v>
      </c>
      <c r="C2" s="82">
        <v>176191301</v>
      </c>
      <c r="D2" s="85" t="s">
        <v>274</v>
      </c>
      <c r="E2" s="85">
        <v>8900</v>
      </c>
      <c r="F2" s="211">
        <v>90</v>
      </c>
      <c r="G2" s="87" t="s">
        <v>97</v>
      </c>
      <c r="H2" s="92" t="s">
        <v>275</v>
      </c>
      <c r="I2" s="85" t="s">
        <v>228</v>
      </c>
    </row>
    <row r="3" ht="27.75" customHeight="1" spans="1:9">
      <c r="A3" s="85">
        <v>12</v>
      </c>
      <c r="B3" s="85" t="s">
        <v>84</v>
      </c>
      <c r="C3" s="85">
        <v>1004877057</v>
      </c>
      <c r="D3" s="85" t="s">
        <v>84</v>
      </c>
      <c r="E3" s="85">
        <v>9000</v>
      </c>
      <c r="F3" s="212">
        <v>90</v>
      </c>
      <c r="G3" s="87" t="s">
        <v>229</v>
      </c>
      <c r="H3" s="92" t="s">
        <v>275</v>
      </c>
      <c r="I3" s="85" t="s">
        <v>230</v>
      </c>
    </row>
    <row r="4" ht="27.75" customHeight="1" spans="1:9">
      <c r="A4" s="61"/>
      <c r="B4" s="85" t="s">
        <v>276</v>
      </c>
      <c r="C4" s="85">
        <v>177909188</v>
      </c>
      <c r="D4" s="85" t="s">
        <v>276</v>
      </c>
      <c r="E4" s="85">
        <v>9000</v>
      </c>
      <c r="F4" s="211">
        <v>90</v>
      </c>
      <c r="G4" s="87" t="s">
        <v>81</v>
      </c>
      <c r="H4" s="92" t="s">
        <v>277</v>
      </c>
      <c r="I4" s="85" t="s">
        <v>278</v>
      </c>
    </row>
    <row r="5" ht="27.75" customHeight="1" spans="1:9">
      <c r="A5" s="85">
        <v>13</v>
      </c>
      <c r="B5" s="85" t="s">
        <v>107</v>
      </c>
      <c r="C5" s="85">
        <v>187933845</v>
      </c>
      <c r="D5" s="85" t="s">
        <v>107</v>
      </c>
      <c r="E5" s="85">
        <v>8100</v>
      </c>
      <c r="F5" s="213">
        <v>89</v>
      </c>
      <c r="G5" s="87" t="s">
        <v>231</v>
      </c>
      <c r="H5" s="92" t="s">
        <v>277</v>
      </c>
      <c r="I5" s="85" t="s">
        <v>232</v>
      </c>
    </row>
    <row r="6" ht="27.75" customHeight="1" spans="1:9">
      <c r="A6" s="85"/>
      <c r="B6" s="85" t="s">
        <v>75</v>
      </c>
      <c r="C6" s="85">
        <v>136801289</v>
      </c>
      <c r="D6" s="85" t="s">
        <v>279</v>
      </c>
      <c r="E6" s="85">
        <v>8750</v>
      </c>
      <c r="F6" s="212">
        <v>88</v>
      </c>
      <c r="G6" s="87" t="s">
        <v>76</v>
      </c>
      <c r="H6" s="92" t="s">
        <v>277</v>
      </c>
      <c r="I6" s="85" t="s">
        <v>78</v>
      </c>
    </row>
    <row r="7" ht="27.75" customHeight="1" spans="1:9">
      <c r="A7" s="85"/>
      <c r="B7" s="85" t="s">
        <v>108</v>
      </c>
      <c r="C7" s="82">
        <v>187468758</v>
      </c>
      <c r="D7" s="82" t="s">
        <v>280</v>
      </c>
      <c r="E7" s="85">
        <v>9000</v>
      </c>
      <c r="F7" s="212">
        <v>88</v>
      </c>
      <c r="G7" s="87" t="s">
        <v>233</v>
      </c>
      <c r="H7" s="92" t="s">
        <v>277</v>
      </c>
      <c r="I7" s="85" t="s">
        <v>234</v>
      </c>
    </row>
    <row r="8" ht="27.75" customHeight="1" spans="1:9">
      <c r="A8" s="85">
        <v>23</v>
      </c>
      <c r="B8" s="85" t="s">
        <v>281</v>
      </c>
      <c r="C8" s="85">
        <v>417861014</v>
      </c>
      <c r="D8" s="85" t="s">
        <v>282</v>
      </c>
      <c r="E8" s="85">
        <v>8300</v>
      </c>
      <c r="F8" s="212">
        <v>88</v>
      </c>
      <c r="G8" s="87" t="s">
        <v>236</v>
      </c>
      <c r="H8" s="92" t="s">
        <v>283</v>
      </c>
      <c r="I8" s="85"/>
    </row>
    <row r="9" ht="27.75" customHeight="1" spans="1:9">
      <c r="A9" s="85">
        <v>7</v>
      </c>
      <c r="B9" s="85" t="s">
        <v>130</v>
      </c>
      <c r="C9" s="85">
        <v>341670770</v>
      </c>
      <c r="D9" s="85" t="s">
        <v>284</v>
      </c>
      <c r="E9" s="85">
        <v>9000</v>
      </c>
      <c r="F9" s="214">
        <v>87</v>
      </c>
      <c r="G9" s="87" t="s">
        <v>97</v>
      </c>
      <c r="H9" s="92" t="s">
        <v>277</v>
      </c>
      <c r="I9" s="85" t="s">
        <v>235</v>
      </c>
    </row>
    <row r="10" ht="27.75" customHeight="1" spans="1:9">
      <c r="A10" s="85"/>
      <c r="B10" s="85" t="s">
        <v>285</v>
      </c>
      <c r="C10" s="85">
        <v>139963294</v>
      </c>
      <c r="D10" s="85" t="s">
        <v>286</v>
      </c>
      <c r="E10" s="85">
        <v>8700</v>
      </c>
      <c r="F10" s="85">
        <v>87</v>
      </c>
      <c r="G10" s="87" t="s">
        <v>76</v>
      </c>
      <c r="H10" s="92" t="s">
        <v>283</v>
      </c>
      <c r="I10" s="85"/>
    </row>
    <row r="11" ht="27.75" customHeight="1" spans="1:9">
      <c r="A11" s="85"/>
      <c r="B11" s="85" t="s">
        <v>26</v>
      </c>
      <c r="C11" s="85">
        <v>213975274</v>
      </c>
      <c r="D11" s="85" t="s">
        <v>287</v>
      </c>
      <c r="E11" s="85">
        <v>8700</v>
      </c>
      <c r="F11" s="215">
        <v>86</v>
      </c>
      <c r="G11" s="87" t="s">
        <v>241</v>
      </c>
      <c r="H11" s="92" t="s">
        <v>283</v>
      </c>
      <c r="I11" s="82"/>
    </row>
    <row r="12" ht="27.75" customHeight="1" spans="1:9">
      <c r="A12" s="85"/>
      <c r="B12" s="85" t="s">
        <v>131</v>
      </c>
      <c r="C12" s="85">
        <v>381057664</v>
      </c>
      <c r="D12" s="85" t="s">
        <v>131</v>
      </c>
      <c r="E12" s="85">
        <v>8500</v>
      </c>
      <c r="F12" s="216">
        <v>85</v>
      </c>
      <c r="G12" s="87" t="s">
        <v>236</v>
      </c>
      <c r="H12" s="92" t="s">
        <v>277</v>
      </c>
      <c r="I12" s="85" t="s">
        <v>237</v>
      </c>
    </row>
    <row r="13" ht="27.75" customHeight="1" spans="1:9">
      <c r="A13" s="85"/>
      <c r="B13" s="85" t="s">
        <v>288</v>
      </c>
      <c r="C13" s="85">
        <v>138235055</v>
      </c>
      <c r="D13" s="85" t="s">
        <v>289</v>
      </c>
      <c r="E13" s="85">
        <v>8500</v>
      </c>
      <c r="F13" s="85">
        <v>85</v>
      </c>
      <c r="G13" s="87" t="s">
        <v>135</v>
      </c>
      <c r="H13" s="92" t="s">
        <v>283</v>
      </c>
      <c r="I13" s="85"/>
    </row>
    <row r="14" ht="27.75" customHeight="1" spans="1:9">
      <c r="A14" s="85">
        <v>1</v>
      </c>
      <c r="B14" s="85" t="s">
        <v>80</v>
      </c>
      <c r="C14" s="85">
        <v>106964785</v>
      </c>
      <c r="D14" s="85" t="s">
        <v>80</v>
      </c>
      <c r="E14" s="85">
        <v>8330</v>
      </c>
      <c r="F14" s="217">
        <v>84</v>
      </c>
      <c r="G14" s="87" t="s">
        <v>76</v>
      </c>
      <c r="H14" s="92" t="s">
        <v>290</v>
      </c>
      <c r="I14" s="85" t="s">
        <v>291</v>
      </c>
    </row>
    <row r="15" ht="27.75" customHeight="1" spans="1:9">
      <c r="A15" s="85">
        <v>34</v>
      </c>
      <c r="B15" s="85" t="s">
        <v>292</v>
      </c>
      <c r="C15" s="82"/>
      <c r="D15" s="85" t="s">
        <v>293</v>
      </c>
      <c r="E15" s="85">
        <v>8600</v>
      </c>
      <c r="F15" s="218">
        <v>83</v>
      </c>
      <c r="G15" s="87" t="s">
        <v>231</v>
      </c>
      <c r="H15" s="92" t="s">
        <v>277</v>
      </c>
      <c r="I15" s="82"/>
    </row>
    <row r="16" ht="27.75" customHeight="1" spans="1:9">
      <c r="A16" s="85"/>
      <c r="B16" s="85" t="s">
        <v>294</v>
      </c>
      <c r="C16" s="85">
        <v>266088396</v>
      </c>
      <c r="D16" s="85" t="s">
        <v>295</v>
      </c>
      <c r="E16" s="85">
        <v>8000</v>
      </c>
      <c r="F16" s="218">
        <v>83</v>
      </c>
      <c r="G16" s="87" t="s">
        <v>238</v>
      </c>
      <c r="H16" s="92" t="s">
        <v>277</v>
      </c>
      <c r="I16" s="85" t="s">
        <v>90</v>
      </c>
    </row>
    <row r="17" ht="27.75" customHeight="1" spans="1:9">
      <c r="A17" s="85"/>
      <c r="B17" s="85" t="s">
        <v>296</v>
      </c>
      <c r="C17" s="85"/>
      <c r="D17" s="85" t="s">
        <v>297</v>
      </c>
      <c r="E17" s="85">
        <v>8300</v>
      </c>
      <c r="F17" s="218">
        <v>83</v>
      </c>
      <c r="G17" s="87" t="s">
        <v>229</v>
      </c>
      <c r="H17" s="92" t="s">
        <v>283</v>
      </c>
      <c r="I17" s="85"/>
    </row>
    <row r="18" ht="27.75" customHeight="1" spans="1:9">
      <c r="A18" s="85"/>
      <c r="B18" s="85" t="s">
        <v>298</v>
      </c>
      <c r="C18" s="85">
        <v>137306952</v>
      </c>
      <c r="D18" s="85" t="s">
        <v>299</v>
      </c>
      <c r="E18" s="85">
        <v>8900</v>
      </c>
      <c r="F18" s="219">
        <v>82</v>
      </c>
      <c r="G18" s="87" t="s">
        <v>81</v>
      </c>
      <c r="H18" s="92" t="s">
        <v>283</v>
      </c>
      <c r="I18" s="85" t="s">
        <v>93</v>
      </c>
    </row>
    <row r="19" ht="27.75" customHeight="1" spans="1:9">
      <c r="A19" s="85">
        <v>10</v>
      </c>
      <c r="B19" s="85" t="s">
        <v>96</v>
      </c>
      <c r="C19" s="85">
        <v>138558413</v>
      </c>
      <c r="D19" s="85" t="s">
        <v>300</v>
      </c>
      <c r="E19" s="85">
        <v>7500</v>
      </c>
      <c r="F19" s="220">
        <v>81</v>
      </c>
      <c r="G19" s="87" t="s">
        <v>97</v>
      </c>
      <c r="H19" s="92" t="s">
        <v>275</v>
      </c>
      <c r="I19" s="85" t="s">
        <v>98</v>
      </c>
    </row>
    <row r="20" ht="27.75" customHeight="1" spans="1:9">
      <c r="A20" s="85"/>
      <c r="B20" s="85" t="s">
        <v>301</v>
      </c>
      <c r="C20" s="85">
        <v>131584904</v>
      </c>
      <c r="D20" s="85" t="s">
        <v>302</v>
      </c>
      <c r="E20" s="85">
        <v>7500</v>
      </c>
      <c r="F20" s="221">
        <v>80</v>
      </c>
      <c r="G20" s="87" t="s">
        <v>76</v>
      </c>
      <c r="H20" s="92" t="s">
        <v>283</v>
      </c>
      <c r="I20" s="85"/>
    </row>
    <row r="21" ht="27.75" customHeight="1" spans="1:9">
      <c r="A21" s="85"/>
      <c r="B21" s="141" t="s">
        <v>303</v>
      </c>
      <c r="C21" s="85">
        <v>207704824</v>
      </c>
      <c r="D21" s="85" t="s">
        <v>304</v>
      </c>
      <c r="E21" s="85">
        <v>8300</v>
      </c>
      <c r="F21" s="221">
        <v>80</v>
      </c>
      <c r="G21" s="87" t="s">
        <v>305</v>
      </c>
      <c r="H21" s="92" t="s">
        <v>283</v>
      </c>
      <c r="I21" s="85" t="s">
        <v>306</v>
      </c>
    </row>
    <row r="22" ht="27.75" customHeight="1" spans="1:9">
      <c r="A22" s="85"/>
      <c r="B22" s="141">
        <v>12345</v>
      </c>
      <c r="C22" s="85">
        <v>348785399</v>
      </c>
      <c r="D22" s="85" t="s">
        <v>307</v>
      </c>
      <c r="E22" s="85">
        <v>8000</v>
      </c>
      <c r="F22" s="221">
        <v>80</v>
      </c>
      <c r="G22" s="87" t="s">
        <v>263</v>
      </c>
      <c r="H22" s="92" t="s">
        <v>283</v>
      </c>
      <c r="I22" s="85"/>
    </row>
    <row r="23" ht="27.75" customHeight="1" spans="1:9">
      <c r="A23" s="85"/>
      <c r="B23" s="85" t="s">
        <v>101</v>
      </c>
      <c r="C23" s="85">
        <v>164613165</v>
      </c>
      <c r="D23" s="85" t="s">
        <v>308</v>
      </c>
      <c r="E23" s="85">
        <v>8000</v>
      </c>
      <c r="F23" s="221">
        <v>80</v>
      </c>
      <c r="G23" s="87" t="s">
        <v>76</v>
      </c>
      <c r="H23" s="92" t="s">
        <v>283</v>
      </c>
      <c r="I23" s="82"/>
    </row>
    <row r="24" ht="27.75" customHeight="1" spans="1:9">
      <c r="A24" s="85"/>
      <c r="B24" s="85" t="s">
        <v>309</v>
      </c>
      <c r="C24" s="85">
        <v>136314899</v>
      </c>
      <c r="D24" s="85" t="s">
        <v>310</v>
      </c>
      <c r="E24" s="85">
        <v>7800</v>
      </c>
      <c r="F24" s="222">
        <v>78</v>
      </c>
      <c r="G24" s="87" t="s">
        <v>97</v>
      </c>
      <c r="H24" s="92" t="s">
        <v>283</v>
      </c>
      <c r="I24" s="85" t="s">
        <v>311</v>
      </c>
    </row>
    <row r="25" ht="27.75" customHeight="1" spans="1:9">
      <c r="A25" s="61"/>
      <c r="B25" s="85" t="s">
        <v>312</v>
      </c>
      <c r="C25" s="82">
        <v>173964673</v>
      </c>
      <c r="D25" s="85" t="s">
        <v>313</v>
      </c>
      <c r="E25" s="85">
        <v>7800</v>
      </c>
      <c r="F25" s="85">
        <v>78</v>
      </c>
      <c r="G25" s="87" t="s">
        <v>239</v>
      </c>
      <c r="H25" s="92" t="s">
        <v>283</v>
      </c>
      <c r="I25" s="85" t="s">
        <v>103</v>
      </c>
    </row>
    <row r="26" ht="27.75" customHeight="1" spans="1:9">
      <c r="A26" s="85">
        <v>25</v>
      </c>
      <c r="B26" s="85" t="s">
        <v>104</v>
      </c>
      <c r="C26" s="85">
        <v>383560624</v>
      </c>
      <c r="D26" s="85" t="s">
        <v>314</v>
      </c>
      <c r="E26" s="85">
        <v>7700</v>
      </c>
      <c r="F26" s="223">
        <v>77</v>
      </c>
      <c r="G26" s="87" t="s">
        <v>240</v>
      </c>
      <c r="H26" s="92" t="s">
        <v>275</v>
      </c>
      <c r="I26" s="85" t="s">
        <v>106</v>
      </c>
    </row>
    <row r="27" ht="27.75" customHeight="1" spans="1:9">
      <c r="A27" s="85"/>
      <c r="B27" s="85" t="s">
        <v>315</v>
      </c>
      <c r="C27" s="85">
        <v>136495866</v>
      </c>
      <c r="D27" s="85" t="s">
        <v>316</v>
      </c>
      <c r="E27" s="85">
        <v>7700</v>
      </c>
      <c r="F27" s="223">
        <v>77</v>
      </c>
      <c r="G27" s="87" t="s">
        <v>97</v>
      </c>
      <c r="H27" s="92" t="s">
        <v>283</v>
      </c>
      <c r="I27" s="85"/>
    </row>
    <row r="28" ht="27.75" customHeight="1" spans="1:9">
      <c r="A28" s="85">
        <v>27</v>
      </c>
      <c r="B28" s="85" t="s">
        <v>150</v>
      </c>
      <c r="C28" s="85">
        <v>885588023</v>
      </c>
      <c r="D28" s="85" t="s">
        <v>317</v>
      </c>
      <c r="E28" s="85">
        <v>7000</v>
      </c>
      <c r="F28" s="223">
        <v>77</v>
      </c>
      <c r="G28" s="87" t="s">
        <v>241</v>
      </c>
      <c r="H28" s="92" t="s">
        <v>283</v>
      </c>
      <c r="I28" s="85" t="s">
        <v>242</v>
      </c>
    </row>
    <row r="29" ht="27.75" customHeight="1" spans="1:9">
      <c r="A29" s="85">
        <v>24</v>
      </c>
      <c r="B29" s="85" t="s">
        <v>318</v>
      </c>
      <c r="C29" s="85">
        <v>267719332</v>
      </c>
      <c r="D29" s="85" t="s">
        <v>318</v>
      </c>
      <c r="E29" s="85">
        <v>6500</v>
      </c>
      <c r="F29" s="224">
        <v>76</v>
      </c>
      <c r="G29" s="87" t="s">
        <v>243</v>
      </c>
      <c r="H29" s="92" t="s">
        <v>277</v>
      </c>
      <c r="I29" s="85" t="s">
        <v>244</v>
      </c>
    </row>
    <row r="30" ht="27.75" customHeight="1" spans="1:9">
      <c r="A30" s="85">
        <v>32</v>
      </c>
      <c r="B30" s="85" t="s">
        <v>245</v>
      </c>
      <c r="C30" s="85">
        <v>457383175</v>
      </c>
      <c r="D30" s="85" t="s">
        <v>245</v>
      </c>
      <c r="F30" s="225">
        <v>76</v>
      </c>
      <c r="G30" s="87" t="s">
        <v>97</v>
      </c>
      <c r="H30" s="92" t="s">
        <v>283</v>
      </c>
      <c r="I30" s="85" t="s">
        <v>112</v>
      </c>
    </row>
    <row r="31" ht="27.75" customHeight="1" spans="1:9">
      <c r="A31" s="85">
        <v>26</v>
      </c>
      <c r="B31" s="85" t="s">
        <v>87</v>
      </c>
      <c r="C31" s="85">
        <v>1259908216</v>
      </c>
      <c r="D31" s="85" t="s">
        <v>319</v>
      </c>
      <c r="E31" s="85">
        <v>7500</v>
      </c>
      <c r="F31" s="226">
        <v>75</v>
      </c>
      <c r="G31" s="87" t="s">
        <v>97</v>
      </c>
      <c r="H31" s="92" t="s">
        <v>320</v>
      </c>
      <c r="I31" s="85" t="s">
        <v>119</v>
      </c>
    </row>
    <row r="32" ht="27.75" customHeight="1" spans="1:9">
      <c r="A32" s="85">
        <v>30</v>
      </c>
      <c r="B32" s="103" t="s">
        <v>113</v>
      </c>
      <c r="C32" s="85">
        <v>137852652</v>
      </c>
      <c r="D32" s="85" t="s">
        <v>321</v>
      </c>
      <c r="E32" s="85">
        <v>6800</v>
      </c>
      <c r="F32" s="226">
        <v>75</v>
      </c>
      <c r="G32" s="87" t="s">
        <v>305</v>
      </c>
      <c r="H32" s="92" t="s">
        <v>277</v>
      </c>
      <c r="I32" s="82"/>
    </row>
    <row r="33" ht="27.75" customHeight="1" spans="1:9">
      <c r="A33" s="85">
        <v>19</v>
      </c>
      <c r="B33" s="85">
        <v>21</v>
      </c>
      <c r="C33" s="85">
        <v>277443592</v>
      </c>
      <c r="D33" s="85">
        <v>21</v>
      </c>
      <c r="E33" s="85">
        <v>6800</v>
      </c>
      <c r="F33" s="227">
        <v>75</v>
      </c>
      <c r="G33" s="87" t="s">
        <v>76</v>
      </c>
      <c r="H33" s="92" t="s">
        <v>277</v>
      </c>
      <c r="I33" s="85" t="s">
        <v>246</v>
      </c>
    </row>
    <row r="34" ht="27.75" customHeight="1" spans="1:9">
      <c r="A34" s="85"/>
      <c r="B34" s="85" t="s">
        <v>322</v>
      </c>
      <c r="C34" s="85">
        <v>168741476</v>
      </c>
      <c r="D34" s="85" t="s">
        <v>323</v>
      </c>
      <c r="E34" s="85">
        <v>7700</v>
      </c>
      <c r="F34" s="226">
        <v>75</v>
      </c>
      <c r="G34" s="87" t="s">
        <v>263</v>
      </c>
      <c r="H34" s="92" t="s">
        <v>283</v>
      </c>
      <c r="I34" s="85" t="s">
        <v>324</v>
      </c>
    </row>
    <row r="35" ht="27.75" customHeight="1" spans="1:9">
      <c r="A35" s="85"/>
      <c r="B35" s="85" t="s">
        <v>325</v>
      </c>
      <c r="C35" s="85">
        <v>364668381</v>
      </c>
      <c r="D35" s="85" t="s">
        <v>326</v>
      </c>
      <c r="E35" s="85">
        <v>7500</v>
      </c>
      <c r="F35" s="226">
        <v>75</v>
      </c>
      <c r="G35" s="87" t="s">
        <v>241</v>
      </c>
      <c r="H35" s="92" t="s">
        <v>283</v>
      </c>
      <c r="I35" s="85" t="s">
        <v>327</v>
      </c>
    </row>
    <row r="36" ht="27.75" customHeight="1" spans="1:9">
      <c r="A36" s="85">
        <v>2</v>
      </c>
      <c r="B36" s="85" t="s">
        <v>247</v>
      </c>
      <c r="C36" s="85">
        <v>186753076</v>
      </c>
      <c r="D36" s="85" t="s">
        <v>247</v>
      </c>
      <c r="E36" s="85">
        <v>7500</v>
      </c>
      <c r="F36" s="85">
        <v>75</v>
      </c>
      <c r="G36" s="87" t="s">
        <v>248</v>
      </c>
      <c r="H36" s="92" t="s">
        <v>283</v>
      </c>
      <c r="I36" s="85" t="s">
        <v>249</v>
      </c>
    </row>
    <row r="37" ht="27.75" customHeight="1" spans="1:9">
      <c r="A37" s="61"/>
      <c r="B37" s="85" t="s">
        <v>328</v>
      </c>
      <c r="C37" s="85">
        <v>195565104</v>
      </c>
      <c r="D37" s="85" t="s">
        <v>329</v>
      </c>
      <c r="E37" s="85">
        <v>7400</v>
      </c>
      <c r="F37" s="85">
        <v>74</v>
      </c>
      <c r="G37" s="87" t="s">
        <v>236</v>
      </c>
      <c r="H37" s="92" t="s">
        <v>283</v>
      </c>
      <c r="I37" s="85"/>
    </row>
    <row r="38" ht="27.75" customHeight="1" spans="1:9">
      <c r="A38" s="85">
        <v>28</v>
      </c>
      <c r="B38" s="85" t="s">
        <v>330</v>
      </c>
      <c r="C38" s="82">
        <v>323934704</v>
      </c>
      <c r="D38" s="85" t="s">
        <v>331</v>
      </c>
      <c r="E38" s="85">
        <v>6400</v>
      </c>
      <c r="F38" s="228">
        <v>72</v>
      </c>
      <c r="G38" s="87" t="s">
        <v>76</v>
      </c>
      <c r="H38" s="92" t="s">
        <v>277</v>
      </c>
      <c r="I38" s="82" t="s">
        <v>332</v>
      </c>
    </row>
    <row r="39" ht="27.75" customHeight="1" spans="1:9">
      <c r="A39" s="85"/>
      <c r="B39" s="85" t="s">
        <v>333</v>
      </c>
      <c r="C39" s="85">
        <v>299025900</v>
      </c>
      <c r="D39" s="85" t="s">
        <v>334</v>
      </c>
      <c r="E39" s="85">
        <v>7500</v>
      </c>
      <c r="F39" s="228">
        <v>72</v>
      </c>
      <c r="G39" s="87" t="s">
        <v>97</v>
      </c>
      <c r="H39" s="92" t="s">
        <v>283</v>
      </c>
      <c r="I39" s="85" t="s">
        <v>335</v>
      </c>
    </row>
    <row r="40" ht="27.75" customHeight="1" spans="1:9">
      <c r="A40" s="85"/>
      <c r="B40" s="141" t="s">
        <v>336</v>
      </c>
      <c r="C40" s="85">
        <v>284456126</v>
      </c>
      <c r="D40" s="85" t="s">
        <v>336</v>
      </c>
      <c r="E40" s="85">
        <v>7500</v>
      </c>
      <c r="F40" s="228">
        <v>72</v>
      </c>
      <c r="G40" s="87" t="s">
        <v>76</v>
      </c>
      <c r="H40" s="92" t="s">
        <v>283</v>
      </c>
      <c r="I40" s="85"/>
    </row>
    <row r="41" ht="27.75" customHeight="1" spans="1:9">
      <c r="A41" s="85"/>
      <c r="B41" s="85" t="s">
        <v>337</v>
      </c>
      <c r="C41" s="85">
        <v>273944620</v>
      </c>
      <c r="D41" s="85" t="s">
        <v>338</v>
      </c>
      <c r="E41" s="85">
        <v>7000</v>
      </c>
      <c r="F41" s="228">
        <v>72</v>
      </c>
      <c r="G41" s="87" t="s">
        <v>76</v>
      </c>
      <c r="H41" s="92" t="s">
        <v>283</v>
      </c>
      <c r="I41" s="82"/>
    </row>
    <row r="42" ht="27.75" customHeight="1" spans="1:9">
      <c r="A42" s="61"/>
      <c r="B42" s="85" t="s">
        <v>339</v>
      </c>
      <c r="C42" s="85">
        <v>139625562</v>
      </c>
      <c r="D42" s="85" t="s">
        <v>339</v>
      </c>
      <c r="E42" s="85">
        <v>7200</v>
      </c>
      <c r="F42" s="85">
        <v>72</v>
      </c>
      <c r="G42" s="87" t="s">
        <v>81</v>
      </c>
      <c r="H42" s="92" t="s">
        <v>283</v>
      </c>
      <c r="I42" s="85"/>
    </row>
    <row r="43" ht="27.75" customHeight="1" spans="1:9">
      <c r="A43" s="85"/>
      <c r="B43" s="85" t="s">
        <v>340</v>
      </c>
      <c r="C43" s="85">
        <v>849019725</v>
      </c>
      <c r="D43" s="85" t="s">
        <v>341</v>
      </c>
      <c r="E43" s="85">
        <v>6500</v>
      </c>
      <c r="F43" s="229">
        <v>70</v>
      </c>
      <c r="G43" s="87" t="s">
        <v>97</v>
      </c>
      <c r="H43" s="92" t="s">
        <v>277</v>
      </c>
      <c r="I43" s="85" t="s">
        <v>342</v>
      </c>
    </row>
    <row r="44" ht="27.75" customHeight="1" spans="1:9">
      <c r="A44" s="85"/>
      <c r="B44" s="85" t="s">
        <v>343</v>
      </c>
      <c r="C44" s="85">
        <v>214116802</v>
      </c>
      <c r="D44" s="85" t="s">
        <v>344</v>
      </c>
      <c r="E44" s="85">
        <v>6666</v>
      </c>
      <c r="F44" s="85">
        <v>70</v>
      </c>
      <c r="G44" s="87" t="s">
        <v>81</v>
      </c>
      <c r="H44" s="92" t="s">
        <v>277</v>
      </c>
      <c r="I44" s="85" t="s">
        <v>345</v>
      </c>
    </row>
    <row r="45" ht="27.75" customHeight="1" spans="1:9">
      <c r="A45" s="85"/>
      <c r="B45" s="141" t="s">
        <v>346</v>
      </c>
      <c r="C45" s="85">
        <v>237133438</v>
      </c>
      <c r="D45" s="85" t="s">
        <v>347</v>
      </c>
      <c r="E45" s="85">
        <v>7000</v>
      </c>
      <c r="F45" s="229">
        <v>70</v>
      </c>
      <c r="G45" s="87" t="s">
        <v>260</v>
      </c>
      <c r="H45" s="92" t="s">
        <v>283</v>
      </c>
      <c r="I45" s="85" t="s">
        <v>289</v>
      </c>
    </row>
    <row r="46" ht="27.75" customHeight="1" spans="1:9">
      <c r="A46" s="85"/>
      <c r="B46" s="85" t="s">
        <v>348</v>
      </c>
      <c r="C46" s="85">
        <v>107735504</v>
      </c>
      <c r="D46" s="85" t="s">
        <v>349</v>
      </c>
      <c r="E46" s="85">
        <v>7000</v>
      </c>
      <c r="F46" s="229">
        <v>70</v>
      </c>
      <c r="G46" s="87" t="s">
        <v>81</v>
      </c>
      <c r="H46" s="92" t="s">
        <v>283</v>
      </c>
      <c r="I46" s="85" t="s">
        <v>350</v>
      </c>
    </row>
    <row r="47" ht="27.75" customHeight="1" spans="1:9">
      <c r="A47" s="85"/>
      <c r="B47" s="141" t="s">
        <v>351</v>
      </c>
      <c r="C47" s="85">
        <v>184550875</v>
      </c>
      <c r="D47" s="85" t="s">
        <v>352</v>
      </c>
      <c r="E47" s="85">
        <v>7000</v>
      </c>
      <c r="F47" s="229">
        <v>70</v>
      </c>
      <c r="G47" s="87" t="s">
        <v>238</v>
      </c>
      <c r="H47" s="92" t="s">
        <v>283</v>
      </c>
      <c r="I47" s="85" t="s">
        <v>353</v>
      </c>
    </row>
    <row r="48" ht="27.75" customHeight="1" spans="1:9">
      <c r="A48" s="85"/>
      <c r="B48" s="61" t="s">
        <v>354</v>
      </c>
      <c r="C48" s="85">
        <v>401464166</v>
      </c>
      <c r="D48" s="85" t="s">
        <v>354</v>
      </c>
      <c r="E48" s="85">
        <v>6800</v>
      </c>
      <c r="F48" s="229">
        <v>70</v>
      </c>
      <c r="G48" s="87" t="s">
        <v>241</v>
      </c>
      <c r="H48" s="92" t="s">
        <v>283</v>
      </c>
      <c r="I48" s="85" t="s">
        <v>125</v>
      </c>
    </row>
    <row r="49" ht="27.75" customHeight="1" spans="1:9">
      <c r="A49" s="85"/>
      <c r="B49" s="85" t="s">
        <v>355</v>
      </c>
      <c r="C49" s="85">
        <v>206199816</v>
      </c>
      <c r="D49" s="85" t="s">
        <v>356</v>
      </c>
      <c r="E49" s="85">
        <v>6500</v>
      </c>
      <c r="F49" s="230">
        <v>69</v>
      </c>
      <c r="G49" s="87" t="s">
        <v>236</v>
      </c>
      <c r="H49" s="92" t="s">
        <v>277</v>
      </c>
      <c r="I49" s="82"/>
    </row>
    <row r="50" ht="27.75" customHeight="1" spans="1:9">
      <c r="A50" s="85"/>
      <c r="B50" s="85" t="s">
        <v>357</v>
      </c>
      <c r="C50" s="85">
        <v>106521253</v>
      </c>
      <c r="D50" s="85" t="s">
        <v>358</v>
      </c>
      <c r="E50" s="85">
        <v>7000</v>
      </c>
      <c r="F50" s="230">
        <v>69</v>
      </c>
      <c r="G50" s="87" t="s">
        <v>97</v>
      </c>
      <c r="H50" s="92" t="s">
        <v>283</v>
      </c>
      <c r="I50" s="85" t="s">
        <v>359</v>
      </c>
    </row>
    <row r="51" ht="27.75" customHeight="1" spans="1:9">
      <c r="A51" s="85"/>
      <c r="B51" s="85" t="s">
        <v>250</v>
      </c>
      <c r="C51" s="85">
        <v>355328125</v>
      </c>
      <c r="D51" s="85" t="s">
        <v>250</v>
      </c>
      <c r="E51" s="85">
        <v>6649</v>
      </c>
      <c r="F51" s="231">
        <v>68</v>
      </c>
      <c r="G51" s="87" t="s">
        <v>241</v>
      </c>
      <c r="H51" s="92" t="s">
        <v>275</v>
      </c>
      <c r="I51" s="85" t="s">
        <v>251</v>
      </c>
    </row>
    <row r="52" ht="27.75" customHeight="1" spans="1:9">
      <c r="A52" s="85"/>
      <c r="B52" s="85" t="s">
        <v>360</v>
      </c>
      <c r="C52" s="85">
        <v>122810642</v>
      </c>
      <c r="D52" s="85" t="s">
        <v>361</v>
      </c>
      <c r="E52" s="85">
        <v>6000</v>
      </c>
      <c r="F52" s="231">
        <v>68</v>
      </c>
      <c r="G52" s="87" t="s">
        <v>241</v>
      </c>
      <c r="H52" s="92" t="s">
        <v>283</v>
      </c>
      <c r="I52" s="85" t="s">
        <v>128</v>
      </c>
    </row>
    <row r="53" ht="27.75" customHeight="1" spans="1:9">
      <c r="A53" s="85"/>
      <c r="B53" s="85" t="s">
        <v>362</v>
      </c>
      <c r="C53" s="85">
        <v>400401267</v>
      </c>
      <c r="D53" s="82"/>
      <c r="E53" s="85">
        <v>5500</v>
      </c>
      <c r="F53" s="232">
        <v>66</v>
      </c>
      <c r="G53" s="87" t="s">
        <v>261</v>
      </c>
      <c r="H53" s="92" t="s">
        <v>320</v>
      </c>
      <c r="I53" s="85" t="s">
        <v>363</v>
      </c>
    </row>
    <row r="54" ht="27.75" customHeight="1" spans="1:9">
      <c r="A54" s="61">
        <v>22</v>
      </c>
      <c r="B54" s="85" t="s">
        <v>114</v>
      </c>
      <c r="C54" s="85">
        <v>235611786</v>
      </c>
      <c r="D54" s="85" t="s">
        <v>364</v>
      </c>
      <c r="E54" s="85">
        <v>4300</v>
      </c>
      <c r="F54" s="233">
        <v>65</v>
      </c>
      <c r="G54" s="87" t="s">
        <v>97</v>
      </c>
      <c r="H54" s="92" t="s">
        <v>277</v>
      </c>
      <c r="I54" s="85" t="s">
        <v>129</v>
      </c>
    </row>
    <row r="55" ht="27.75" customHeight="1" spans="1:9">
      <c r="A55" s="85"/>
      <c r="B55" s="85" t="s">
        <v>365</v>
      </c>
      <c r="C55" s="85">
        <v>213533739</v>
      </c>
      <c r="D55" s="85" t="s">
        <v>366</v>
      </c>
      <c r="E55" s="85">
        <v>6500</v>
      </c>
      <c r="F55" s="233">
        <v>65</v>
      </c>
      <c r="G55" s="87" t="s">
        <v>267</v>
      </c>
      <c r="H55" s="92" t="s">
        <v>283</v>
      </c>
      <c r="I55" s="82"/>
    </row>
    <row r="56" ht="27.75" customHeight="1" spans="1:9">
      <c r="A56" s="61"/>
      <c r="B56" s="85" t="s">
        <v>367</v>
      </c>
      <c r="C56" s="85">
        <v>275833098</v>
      </c>
      <c r="D56" s="85" t="s">
        <v>367</v>
      </c>
      <c r="E56" s="85">
        <v>6500</v>
      </c>
      <c r="F56" s="85">
        <v>65</v>
      </c>
      <c r="G56" s="87" t="s">
        <v>243</v>
      </c>
      <c r="H56" s="92" t="s">
        <v>283</v>
      </c>
      <c r="I56" s="85"/>
    </row>
    <row r="57" ht="27.75" customHeight="1" spans="1:9">
      <c r="A57" s="61"/>
      <c r="B57" s="85" t="s">
        <v>368</v>
      </c>
      <c r="C57" s="85"/>
      <c r="D57" s="85" t="s">
        <v>369</v>
      </c>
      <c r="E57" s="85">
        <v>6500</v>
      </c>
      <c r="F57" s="85">
        <v>65</v>
      </c>
      <c r="G57" s="87" t="s">
        <v>236</v>
      </c>
      <c r="H57" s="92" t="s">
        <v>283</v>
      </c>
      <c r="I57" s="85"/>
    </row>
    <row r="58" ht="27.75" customHeight="1" spans="1:9">
      <c r="A58" s="85"/>
      <c r="B58" s="85" t="s">
        <v>370</v>
      </c>
      <c r="C58" s="85">
        <v>320347996</v>
      </c>
      <c r="D58" s="85" t="s">
        <v>371</v>
      </c>
      <c r="E58" s="85">
        <v>6400</v>
      </c>
      <c r="F58" s="234">
        <v>64</v>
      </c>
      <c r="G58" s="87" t="s">
        <v>243</v>
      </c>
      <c r="H58" s="92" t="s">
        <v>283</v>
      </c>
      <c r="I58" s="85" t="s">
        <v>372</v>
      </c>
    </row>
    <row r="59" ht="27.75" customHeight="1" spans="1:9">
      <c r="A59" s="85"/>
      <c r="B59" s="85" t="s">
        <v>253</v>
      </c>
      <c r="C59" s="85">
        <v>108868178</v>
      </c>
      <c r="D59" s="85" t="s">
        <v>373</v>
      </c>
      <c r="E59" s="85">
        <v>6000</v>
      </c>
      <c r="F59" s="234">
        <v>64</v>
      </c>
      <c r="G59" s="87" t="s">
        <v>97</v>
      </c>
      <c r="H59" s="92" t="s">
        <v>283</v>
      </c>
      <c r="I59" s="85" t="s">
        <v>254</v>
      </c>
    </row>
    <row r="60" ht="27.75" customHeight="1" spans="1:9">
      <c r="A60" s="85">
        <v>3</v>
      </c>
      <c r="B60" s="85" t="s">
        <v>132</v>
      </c>
      <c r="C60" s="85">
        <v>104465635</v>
      </c>
      <c r="D60" s="85" t="s">
        <v>132</v>
      </c>
      <c r="E60" s="85">
        <v>6000</v>
      </c>
      <c r="F60" s="235">
        <v>63</v>
      </c>
      <c r="G60" s="87" t="s">
        <v>236</v>
      </c>
      <c r="H60" s="92" t="s">
        <v>275</v>
      </c>
      <c r="I60" s="85" t="s">
        <v>133</v>
      </c>
    </row>
    <row r="61" ht="27.75" customHeight="1" spans="1:9">
      <c r="A61" s="85"/>
      <c r="B61" s="85" t="s">
        <v>374</v>
      </c>
      <c r="C61" s="85">
        <v>250240864</v>
      </c>
      <c r="D61" s="85" t="s">
        <v>375</v>
      </c>
      <c r="E61" s="85">
        <v>6100</v>
      </c>
      <c r="F61" s="85">
        <v>61</v>
      </c>
      <c r="G61" s="87" t="s">
        <v>76</v>
      </c>
      <c r="H61" s="92" t="s">
        <v>283</v>
      </c>
      <c r="I61" s="85"/>
    </row>
    <row r="62" ht="27.75" customHeight="1" spans="1:9">
      <c r="A62" s="85">
        <v>5</v>
      </c>
      <c r="B62" s="85" t="s">
        <v>118</v>
      </c>
      <c r="C62" s="85">
        <v>154029585</v>
      </c>
      <c r="D62" s="85" t="s">
        <v>118</v>
      </c>
      <c r="E62" s="85">
        <v>6000</v>
      </c>
      <c r="F62" s="235">
        <v>60</v>
      </c>
      <c r="G62" s="87" t="s">
        <v>81</v>
      </c>
      <c r="H62" s="92" t="s">
        <v>320</v>
      </c>
      <c r="I62" s="85" t="s">
        <v>257</v>
      </c>
    </row>
    <row r="63" ht="27.75" customHeight="1" spans="1:9">
      <c r="A63" s="85"/>
      <c r="B63" s="85" t="s">
        <v>376</v>
      </c>
      <c r="C63" s="85">
        <v>220579554</v>
      </c>
      <c r="D63" s="85" t="s">
        <v>377</v>
      </c>
      <c r="E63" s="85">
        <v>5700</v>
      </c>
      <c r="F63" s="235">
        <v>60</v>
      </c>
      <c r="G63" s="87" t="s">
        <v>248</v>
      </c>
      <c r="H63" s="92" t="s">
        <v>277</v>
      </c>
      <c r="I63" s="85"/>
    </row>
    <row r="64" ht="27.75" customHeight="1" spans="1:9">
      <c r="A64" s="85"/>
      <c r="B64" s="85" t="s">
        <v>255</v>
      </c>
      <c r="C64" s="85">
        <v>255882400</v>
      </c>
      <c r="D64" s="85" t="s">
        <v>255</v>
      </c>
      <c r="E64" s="85">
        <v>5900</v>
      </c>
      <c r="F64" s="235">
        <v>60</v>
      </c>
      <c r="G64" s="87" t="s">
        <v>256</v>
      </c>
      <c r="H64" s="92" t="s">
        <v>283</v>
      </c>
      <c r="I64" s="85" t="s">
        <v>137</v>
      </c>
    </row>
    <row r="65" ht="27.75" customHeight="1" spans="1:9">
      <c r="A65" s="61"/>
      <c r="B65" s="85" t="s">
        <v>145</v>
      </c>
      <c r="C65" s="85">
        <v>117970934</v>
      </c>
      <c r="D65" s="85" t="s">
        <v>145</v>
      </c>
      <c r="E65" s="85">
        <v>6000</v>
      </c>
      <c r="F65" s="85">
        <v>60</v>
      </c>
      <c r="G65" s="87" t="s">
        <v>89</v>
      </c>
      <c r="H65" s="92" t="s">
        <v>283</v>
      </c>
      <c r="I65" s="85" t="s">
        <v>146</v>
      </c>
    </row>
    <row r="66" ht="27.75" customHeight="1" spans="1:9">
      <c r="A66" s="85"/>
      <c r="B66" s="85" t="s">
        <v>378</v>
      </c>
      <c r="C66" s="85">
        <v>202478084</v>
      </c>
      <c r="D66" s="85" t="s">
        <v>379</v>
      </c>
      <c r="E66" s="85">
        <v>6000</v>
      </c>
      <c r="F66" s="235">
        <v>60</v>
      </c>
      <c r="G66" s="87" t="s">
        <v>248</v>
      </c>
      <c r="H66" s="92" t="s">
        <v>283</v>
      </c>
      <c r="I66" s="85" t="s">
        <v>380</v>
      </c>
    </row>
    <row r="67" ht="27.75" customHeight="1" spans="1:9">
      <c r="A67" s="85"/>
      <c r="B67" s="85" t="s">
        <v>381</v>
      </c>
      <c r="C67" s="82">
        <v>344962233</v>
      </c>
      <c r="D67" s="85" t="s">
        <v>381</v>
      </c>
      <c r="E67" s="85">
        <v>6000</v>
      </c>
      <c r="F67" s="235">
        <v>60</v>
      </c>
      <c r="G67" s="87" t="s">
        <v>382</v>
      </c>
      <c r="H67" s="92" t="s">
        <v>283</v>
      </c>
      <c r="I67" s="85" t="s">
        <v>383</v>
      </c>
    </row>
    <row r="68" ht="27.75" customHeight="1" spans="1:9">
      <c r="A68" s="85"/>
      <c r="B68" s="85" t="s">
        <v>384</v>
      </c>
      <c r="C68" s="85">
        <v>171553343</v>
      </c>
      <c r="D68" s="85" t="s">
        <v>385</v>
      </c>
      <c r="E68" s="85">
        <v>6000</v>
      </c>
      <c r="F68" s="235">
        <v>60</v>
      </c>
      <c r="G68" s="87" t="s">
        <v>386</v>
      </c>
      <c r="H68" s="92" t="s">
        <v>283</v>
      </c>
      <c r="I68" s="85" t="s">
        <v>387</v>
      </c>
    </row>
    <row r="69" ht="27.75" customHeight="1" spans="1:9">
      <c r="A69" s="85"/>
      <c r="B69" s="85" t="s">
        <v>388</v>
      </c>
      <c r="C69" s="85"/>
      <c r="D69" s="85"/>
      <c r="E69" s="85">
        <v>5000</v>
      </c>
      <c r="F69" s="235">
        <v>60</v>
      </c>
      <c r="G69" s="87" t="s">
        <v>248</v>
      </c>
      <c r="H69" s="92" t="s">
        <v>283</v>
      </c>
      <c r="I69" s="85"/>
    </row>
    <row r="70" ht="27.75" customHeight="1" spans="1:9">
      <c r="A70" s="61"/>
      <c r="B70" s="85" t="s">
        <v>389</v>
      </c>
      <c r="C70" s="85">
        <v>208583383</v>
      </c>
      <c r="D70" s="85" t="s">
        <v>389</v>
      </c>
      <c r="E70" s="85">
        <v>6000</v>
      </c>
      <c r="F70" s="85">
        <v>60</v>
      </c>
      <c r="G70" s="87" t="s">
        <v>238</v>
      </c>
      <c r="H70" s="92" t="s">
        <v>283</v>
      </c>
      <c r="I70" s="85" t="s">
        <v>390</v>
      </c>
    </row>
    <row r="71" ht="27.75" customHeight="1" spans="1:9">
      <c r="A71" s="85"/>
      <c r="B71" s="85" t="s">
        <v>391</v>
      </c>
      <c r="C71" s="85">
        <v>190655054</v>
      </c>
      <c r="D71" s="85" t="s">
        <v>392</v>
      </c>
      <c r="E71" s="85">
        <v>6000</v>
      </c>
      <c r="F71" s="85">
        <v>60</v>
      </c>
      <c r="G71" s="87"/>
      <c r="H71" s="92" t="s">
        <v>283</v>
      </c>
      <c r="I71" s="85"/>
    </row>
    <row r="72" ht="27.75" customHeight="1" spans="1:9">
      <c r="A72" s="85"/>
      <c r="B72" s="85" t="s">
        <v>121</v>
      </c>
      <c r="C72" s="85">
        <v>334481697</v>
      </c>
      <c r="D72" s="85" t="s">
        <v>393</v>
      </c>
      <c r="E72" s="85">
        <v>6000</v>
      </c>
      <c r="F72" s="85">
        <v>60</v>
      </c>
      <c r="G72" s="87" t="s">
        <v>248</v>
      </c>
      <c r="H72" s="92" t="s">
        <v>283</v>
      </c>
      <c r="I72" s="85"/>
    </row>
    <row r="73" ht="27.75" customHeight="1" spans="1:9">
      <c r="A73" s="85">
        <v>6</v>
      </c>
      <c r="B73" s="85" t="s">
        <v>394</v>
      </c>
      <c r="C73" s="85">
        <v>1255409177</v>
      </c>
      <c r="D73" s="85" t="s">
        <v>395</v>
      </c>
      <c r="E73" s="85">
        <v>6200</v>
      </c>
      <c r="F73" s="238">
        <v>59</v>
      </c>
      <c r="G73" s="87" t="s">
        <v>81</v>
      </c>
      <c r="H73" s="92" t="s">
        <v>275</v>
      </c>
      <c r="I73" s="85" t="s">
        <v>258</v>
      </c>
    </row>
    <row r="74" ht="27.75" customHeight="1" spans="1:9">
      <c r="A74" s="85">
        <v>15</v>
      </c>
      <c r="B74" s="85" t="s">
        <v>396</v>
      </c>
      <c r="C74" s="85">
        <v>354618808</v>
      </c>
      <c r="D74" s="85" t="s">
        <v>397</v>
      </c>
      <c r="E74" s="85">
        <v>6000</v>
      </c>
      <c r="F74" s="239">
        <v>58</v>
      </c>
      <c r="G74" s="87" t="s">
        <v>259</v>
      </c>
      <c r="H74" s="92" t="s">
        <v>277</v>
      </c>
      <c r="I74" s="85" t="s">
        <v>149</v>
      </c>
    </row>
    <row r="75" ht="27.75" customHeight="1" spans="1:9">
      <c r="A75" s="85"/>
      <c r="B75" s="141" t="s">
        <v>398</v>
      </c>
      <c r="C75" s="85">
        <v>345334297</v>
      </c>
      <c r="D75" s="85"/>
      <c r="E75" s="85">
        <v>5900</v>
      </c>
      <c r="F75" s="239">
        <v>58</v>
      </c>
      <c r="G75" s="87" t="s">
        <v>76</v>
      </c>
      <c r="H75" s="92" t="s">
        <v>283</v>
      </c>
      <c r="I75" s="85" t="s">
        <v>399</v>
      </c>
    </row>
    <row r="76" ht="27.75" customHeight="1" spans="1:9">
      <c r="A76" s="85"/>
      <c r="B76" s="85" t="s">
        <v>400</v>
      </c>
      <c r="C76" s="85">
        <v>833682223</v>
      </c>
      <c r="D76" s="85" t="s">
        <v>400</v>
      </c>
      <c r="E76" s="85">
        <v>5800</v>
      </c>
      <c r="F76" s="239">
        <v>58</v>
      </c>
      <c r="G76" s="87" t="s">
        <v>97</v>
      </c>
      <c r="H76" s="92" t="s">
        <v>283</v>
      </c>
      <c r="I76" s="85" t="s">
        <v>401</v>
      </c>
    </row>
    <row r="77" ht="27.75" customHeight="1" spans="1:9">
      <c r="A77" s="85"/>
      <c r="B77" s="85" t="s">
        <v>402</v>
      </c>
      <c r="C77" s="85">
        <v>137552792</v>
      </c>
      <c r="D77" s="85" t="s">
        <v>402</v>
      </c>
      <c r="E77" s="85">
        <v>5800</v>
      </c>
      <c r="F77" s="239">
        <v>58</v>
      </c>
      <c r="G77" s="87" t="s">
        <v>97</v>
      </c>
      <c r="H77" s="92" t="s">
        <v>283</v>
      </c>
      <c r="I77" s="85" t="s">
        <v>403</v>
      </c>
    </row>
    <row r="78" ht="27.75" customHeight="1" spans="1:9">
      <c r="A78" s="85"/>
      <c r="B78" s="85" t="s">
        <v>404</v>
      </c>
      <c r="C78" s="85">
        <v>1101885767</v>
      </c>
      <c r="D78" s="85" t="s">
        <v>404</v>
      </c>
      <c r="E78" s="85">
        <v>6500</v>
      </c>
      <c r="F78" s="239">
        <v>58</v>
      </c>
      <c r="G78" s="87" t="s">
        <v>261</v>
      </c>
      <c r="H78" s="92" t="s">
        <v>283</v>
      </c>
      <c r="I78" s="85" t="s">
        <v>405</v>
      </c>
    </row>
    <row r="79" ht="27.75" customHeight="1" spans="1:9">
      <c r="A79" s="85"/>
      <c r="B79" s="85" t="s">
        <v>406</v>
      </c>
      <c r="C79" s="85">
        <v>144546331</v>
      </c>
      <c r="D79" s="85" t="s">
        <v>406</v>
      </c>
      <c r="E79" s="85">
        <v>5700</v>
      </c>
      <c r="F79" s="85">
        <v>57</v>
      </c>
      <c r="G79" s="87" t="s">
        <v>135</v>
      </c>
      <c r="H79" s="92" t="s">
        <v>283</v>
      </c>
      <c r="I79" s="85"/>
    </row>
    <row r="80" ht="27.75" customHeight="1" spans="1:9">
      <c r="A80" s="61"/>
      <c r="B80" s="85" t="s">
        <v>152</v>
      </c>
      <c r="C80" s="85">
        <v>283200408</v>
      </c>
      <c r="D80" s="85" t="s">
        <v>152</v>
      </c>
      <c r="E80" s="85">
        <v>5600</v>
      </c>
      <c r="F80" s="240">
        <v>56</v>
      </c>
      <c r="G80" s="87" t="s">
        <v>260</v>
      </c>
      <c r="H80" s="92" t="s">
        <v>283</v>
      </c>
      <c r="I80" s="85" t="s">
        <v>407</v>
      </c>
    </row>
    <row r="81" ht="27.75" customHeight="1" spans="1:9">
      <c r="A81" s="61"/>
      <c r="B81" s="85" t="s">
        <v>120</v>
      </c>
      <c r="C81" s="85">
        <v>223646770</v>
      </c>
      <c r="D81" s="85" t="s">
        <v>120</v>
      </c>
      <c r="E81" s="85">
        <v>5000</v>
      </c>
      <c r="F81" s="85">
        <v>55</v>
      </c>
      <c r="G81" s="87" t="s">
        <v>261</v>
      </c>
      <c r="H81" s="92" t="s">
        <v>283</v>
      </c>
      <c r="I81" s="85" t="s">
        <v>161</v>
      </c>
    </row>
    <row r="82" ht="27.75" customHeight="1" spans="1:9">
      <c r="A82" s="85">
        <v>35</v>
      </c>
      <c r="B82" s="85" t="s">
        <v>408</v>
      </c>
      <c r="C82" s="85">
        <v>136662507</v>
      </c>
      <c r="D82" s="85"/>
      <c r="E82" s="85">
        <v>5800</v>
      </c>
      <c r="F82" s="241">
        <v>55</v>
      </c>
      <c r="G82" s="87" t="s">
        <v>260</v>
      </c>
      <c r="H82" s="92" t="s">
        <v>283</v>
      </c>
      <c r="I82" s="85" t="s">
        <v>409</v>
      </c>
    </row>
    <row r="83" ht="27.75" customHeight="1" spans="1:9">
      <c r="A83" s="85"/>
      <c r="B83" s="85" t="s">
        <v>410</v>
      </c>
      <c r="C83" s="85">
        <v>207370853</v>
      </c>
      <c r="D83" s="85" t="s">
        <v>411</v>
      </c>
      <c r="E83" s="85">
        <v>5800</v>
      </c>
      <c r="F83" s="241">
        <v>55</v>
      </c>
      <c r="G83" s="87" t="s">
        <v>412</v>
      </c>
      <c r="H83" s="92" t="s">
        <v>283</v>
      </c>
      <c r="I83" s="85" t="s">
        <v>413</v>
      </c>
    </row>
    <row r="84" ht="27.75" customHeight="1" spans="1:9">
      <c r="A84" s="85"/>
      <c r="B84" s="85" t="s">
        <v>414</v>
      </c>
      <c r="C84" s="85"/>
      <c r="D84" s="85" t="s">
        <v>414</v>
      </c>
      <c r="E84" s="85">
        <v>5200</v>
      </c>
      <c r="F84" s="85">
        <v>55</v>
      </c>
      <c r="G84" s="87" t="s">
        <v>76</v>
      </c>
      <c r="H84" s="92" t="s">
        <v>283</v>
      </c>
      <c r="I84" s="85"/>
    </row>
    <row r="85" ht="27.75" customHeight="1" spans="1:9">
      <c r="A85" s="61"/>
      <c r="B85" s="85" t="s">
        <v>154</v>
      </c>
      <c r="C85" s="85">
        <v>117252110</v>
      </c>
      <c r="D85" s="85" t="s">
        <v>154</v>
      </c>
      <c r="E85" s="85">
        <v>4100</v>
      </c>
      <c r="F85" s="85">
        <v>55</v>
      </c>
      <c r="G85" s="87" t="s">
        <v>97</v>
      </c>
      <c r="H85" s="92" t="s">
        <v>283</v>
      </c>
      <c r="I85" s="85"/>
    </row>
    <row r="86" ht="27.75" customHeight="1" spans="1:9">
      <c r="A86" s="85">
        <v>18</v>
      </c>
      <c r="B86" s="85" t="s">
        <v>155</v>
      </c>
      <c r="C86" s="85">
        <v>417868870</v>
      </c>
      <c r="D86" s="85" t="s">
        <v>415</v>
      </c>
      <c r="E86" s="85">
        <v>5500</v>
      </c>
      <c r="F86" s="85">
        <v>55</v>
      </c>
      <c r="G86" s="87" t="s">
        <v>262</v>
      </c>
      <c r="H86" s="92" t="s">
        <v>283</v>
      </c>
      <c r="I86" s="85"/>
    </row>
    <row r="87" ht="27.75" customHeight="1" spans="1:9">
      <c r="A87" s="85"/>
      <c r="B87" s="85" t="s">
        <v>416</v>
      </c>
      <c r="C87" s="85">
        <v>242739321</v>
      </c>
      <c r="D87" s="85" t="s">
        <v>417</v>
      </c>
      <c r="E87" s="85">
        <v>5500</v>
      </c>
      <c r="F87" s="85">
        <v>55</v>
      </c>
      <c r="G87" s="87" t="s">
        <v>263</v>
      </c>
      <c r="H87" s="92" t="s">
        <v>283</v>
      </c>
      <c r="I87" s="85"/>
    </row>
    <row r="88" ht="27.75" customHeight="1" spans="1:9">
      <c r="A88" s="85"/>
      <c r="B88" s="85" t="s">
        <v>162</v>
      </c>
      <c r="C88" s="85">
        <v>140389337</v>
      </c>
      <c r="D88" s="85" t="s">
        <v>162</v>
      </c>
      <c r="E88" s="85">
        <v>5000</v>
      </c>
      <c r="F88" s="242">
        <v>54</v>
      </c>
      <c r="G88" s="87" t="s">
        <v>264</v>
      </c>
      <c r="H88" s="92" t="s">
        <v>283</v>
      </c>
      <c r="I88" s="82"/>
    </row>
    <row r="89" ht="27.75" customHeight="1" spans="1:9">
      <c r="A89" s="85"/>
      <c r="B89" s="85" t="s">
        <v>418</v>
      </c>
      <c r="C89" s="85"/>
      <c r="D89" s="85"/>
      <c r="E89" s="85">
        <v>5500</v>
      </c>
      <c r="F89" s="243">
        <v>53</v>
      </c>
      <c r="G89" s="87" t="s">
        <v>412</v>
      </c>
      <c r="H89" s="92" t="s">
        <v>283</v>
      </c>
      <c r="I89" s="85" t="s">
        <v>419</v>
      </c>
    </row>
    <row r="90" ht="27.75" customHeight="1" spans="1:9">
      <c r="A90" s="85">
        <v>16</v>
      </c>
      <c r="B90" s="236" t="s">
        <v>100</v>
      </c>
      <c r="C90" s="85">
        <v>189497913</v>
      </c>
      <c r="D90" s="85" t="s">
        <v>100</v>
      </c>
      <c r="E90" s="85">
        <v>5300</v>
      </c>
      <c r="F90" s="243">
        <v>53</v>
      </c>
      <c r="G90" s="87" t="s">
        <v>241</v>
      </c>
      <c r="H90" s="92" t="s">
        <v>283</v>
      </c>
      <c r="I90" s="85" t="s">
        <v>164</v>
      </c>
    </row>
    <row r="91" ht="27.75" customHeight="1" spans="1:9">
      <c r="A91" s="85"/>
      <c r="B91" s="85" t="s">
        <v>420</v>
      </c>
      <c r="C91" s="85">
        <v>208333479</v>
      </c>
      <c r="D91" s="85" t="s">
        <v>420</v>
      </c>
      <c r="E91" s="85">
        <v>5800</v>
      </c>
      <c r="F91" s="244">
        <v>52</v>
      </c>
      <c r="G91" s="87" t="s">
        <v>248</v>
      </c>
      <c r="H91" s="92" t="s">
        <v>277</v>
      </c>
      <c r="I91" s="85" t="s">
        <v>167</v>
      </c>
    </row>
    <row r="92" ht="27.75" customHeight="1" spans="1:9">
      <c r="A92" s="85"/>
      <c r="B92" s="85" t="s">
        <v>421</v>
      </c>
      <c r="C92" s="85">
        <v>138862706</v>
      </c>
      <c r="D92" s="85" t="s">
        <v>422</v>
      </c>
      <c r="E92" s="85">
        <v>5000</v>
      </c>
      <c r="F92" s="244">
        <v>52</v>
      </c>
      <c r="G92" s="87" t="s">
        <v>260</v>
      </c>
      <c r="H92" s="92" t="s">
        <v>277</v>
      </c>
      <c r="I92" s="85" t="s">
        <v>423</v>
      </c>
    </row>
    <row r="93" ht="27.75" customHeight="1" spans="1:9">
      <c r="A93" s="85"/>
      <c r="B93" s="85" t="s">
        <v>424</v>
      </c>
      <c r="C93" s="85">
        <v>136440896</v>
      </c>
      <c r="D93" s="85" t="s">
        <v>425</v>
      </c>
      <c r="E93" s="85">
        <v>5000</v>
      </c>
      <c r="F93" s="244">
        <v>52</v>
      </c>
      <c r="G93" s="87" t="s">
        <v>97</v>
      </c>
      <c r="H93" s="92" t="s">
        <v>283</v>
      </c>
      <c r="I93" s="82"/>
    </row>
    <row r="94" ht="27.75" customHeight="1" spans="1:9">
      <c r="A94" s="61"/>
      <c r="B94" s="85" t="s">
        <v>414</v>
      </c>
      <c r="C94" s="85">
        <v>177500570</v>
      </c>
      <c r="D94" s="85" t="s">
        <v>414</v>
      </c>
      <c r="E94" s="85">
        <v>5200</v>
      </c>
      <c r="F94" s="85">
        <v>52</v>
      </c>
      <c r="G94" s="87" t="s">
        <v>76</v>
      </c>
      <c r="H94" s="92" t="s">
        <v>283</v>
      </c>
      <c r="I94" s="85" t="s">
        <v>426</v>
      </c>
    </row>
    <row r="95" ht="27.75" customHeight="1" spans="1:9">
      <c r="A95" s="61"/>
      <c r="B95" s="85" t="s">
        <v>427</v>
      </c>
      <c r="C95" s="85">
        <v>140594695</v>
      </c>
      <c r="D95" s="85" t="s">
        <v>117</v>
      </c>
      <c r="E95" s="85">
        <v>4900</v>
      </c>
      <c r="F95" s="164">
        <v>50</v>
      </c>
      <c r="G95" s="87" t="s">
        <v>265</v>
      </c>
      <c r="H95" s="92" t="s">
        <v>275</v>
      </c>
      <c r="I95" s="85" t="s">
        <v>169</v>
      </c>
    </row>
    <row r="96" ht="27.75" customHeight="1" spans="1:9">
      <c r="A96" s="85">
        <v>29</v>
      </c>
      <c r="B96" s="85" t="s">
        <v>138</v>
      </c>
      <c r="C96" s="85">
        <v>178988576</v>
      </c>
      <c r="D96" s="85" t="s">
        <v>428</v>
      </c>
      <c r="E96" s="85">
        <v>5000</v>
      </c>
      <c r="F96" s="85">
        <v>50</v>
      </c>
      <c r="G96" s="87" t="s">
        <v>231</v>
      </c>
      <c r="H96" s="92" t="s">
        <v>283</v>
      </c>
      <c r="I96" s="85" t="s">
        <v>173</v>
      </c>
    </row>
    <row r="97" ht="27.75" customHeight="1" spans="1:9">
      <c r="A97" s="85"/>
      <c r="B97" s="103" t="s">
        <v>429</v>
      </c>
      <c r="C97" s="85">
        <v>269543848</v>
      </c>
      <c r="D97" s="85" t="s">
        <v>430</v>
      </c>
      <c r="E97" s="85">
        <v>5800</v>
      </c>
      <c r="F97" s="245">
        <v>50</v>
      </c>
      <c r="G97" s="87" t="s">
        <v>261</v>
      </c>
      <c r="H97" s="92" t="s">
        <v>283</v>
      </c>
      <c r="I97" s="85"/>
    </row>
    <row r="98" ht="27.75" customHeight="1" spans="1:9">
      <c r="A98" s="85"/>
      <c r="B98" s="85" t="s">
        <v>431</v>
      </c>
      <c r="C98" s="85">
        <v>179060539</v>
      </c>
      <c r="D98" s="85" t="s">
        <v>432</v>
      </c>
      <c r="E98" s="85">
        <v>5000</v>
      </c>
      <c r="F98" s="245">
        <v>50</v>
      </c>
      <c r="G98" s="87" t="s">
        <v>97</v>
      </c>
      <c r="H98" s="92" t="s">
        <v>283</v>
      </c>
      <c r="I98" s="85" t="s">
        <v>433</v>
      </c>
    </row>
    <row r="99" ht="27.75" customHeight="1" spans="1:9">
      <c r="A99" s="85">
        <v>33</v>
      </c>
      <c r="B99" s="85" t="s">
        <v>434</v>
      </c>
      <c r="C99" s="85">
        <v>157424993</v>
      </c>
      <c r="D99" s="85" t="s">
        <v>434</v>
      </c>
      <c r="E99" s="85">
        <v>5000</v>
      </c>
      <c r="F99" s="85">
        <v>50</v>
      </c>
      <c r="G99" s="87" t="s">
        <v>236</v>
      </c>
      <c r="H99" s="92" t="s">
        <v>283</v>
      </c>
      <c r="I99" s="85" t="s">
        <v>435</v>
      </c>
    </row>
    <row r="100" ht="27.75" customHeight="1" spans="1:9">
      <c r="A100" s="85">
        <v>8</v>
      </c>
      <c r="B100" s="85" t="s">
        <v>170</v>
      </c>
      <c r="C100" s="85">
        <v>136537289</v>
      </c>
      <c r="D100" s="85" t="s">
        <v>436</v>
      </c>
      <c r="E100" s="85">
        <v>5000</v>
      </c>
      <c r="F100" s="85">
        <v>50</v>
      </c>
      <c r="G100" s="87" t="s">
        <v>229</v>
      </c>
      <c r="H100" s="92" t="s">
        <v>283</v>
      </c>
      <c r="I100" s="85" t="s">
        <v>266</v>
      </c>
    </row>
    <row r="101" ht="27.75" customHeight="1" spans="1:9">
      <c r="A101" s="85"/>
      <c r="B101" s="85">
        <v>193</v>
      </c>
      <c r="C101" s="82"/>
      <c r="D101" s="85" t="s">
        <v>437</v>
      </c>
      <c r="E101" s="85">
        <v>5000</v>
      </c>
      <c r="F101" s="246">
        <v>49</v>
      </c>
      <c r="G101" s="87" t="s">
        <v>76</v>
      </c>
      <c r="H101" s="92" t="s">
        <v>283</v>
      </c>
      <c r="I101" s="85" t="s">
        <v>438</v>
      </c>
    </row>
    <row r="102" ht="27.75" customHeight="1" spans="1:9">
      <c r="A102" s="85"/>
      <c r="B102" s="85" t="s">
        <v>439</v>
      </c>
      <c r="C102" s="85">
        <v>443919132</v>
      </c>
      <c r="D102" s="85" t="s">
        <v>440</v>
      </c>
      <c r="E102" s="85">
        <v>4700</v>
      </c>
      <c r="F102" s="246">
        <v>49</v>
      </c>
      <c r="G102" s="87" t="s">
        <v>261</v>
      </c>
      <c r="H102" s="92" t="s">
        <v>283</v>
      </c>
      <c r="I102" s="85" t="s">
        <v>441</v>
      </c>
    </row>
    <row r="103" ht="27.75" customHeight="1" spans="1:9">
      <c r="A103" s="61"/>
      <c r="B103" s="85" t="s">
        <v>442</v>
      </c>
      <c r="C103" s="85">
        <v>139863553</v>
      </c>
      <c r="D103" s="85" t="s">
        <v>443</v>
      </c>
      <c r="E103" s="85">
        <v>4200</v>
      </c>
      <c r="F103" s="246">
        <v>49</v>
      </c>
      <c r="G103" s="87" t="s">
        <v>238</v>
      </c>
      <c r="H103" s="92" t="s">
        <v>283</v>
      </c>
      <c r="I103" s="85" t="s">
        <v>444</v>
      </c>
    </row>
    <row r="104" ht="27.75" customHeight="1" spans="1:9">
      <c r="A104" s="61"/>
      <c r="B104" s="85" t="s">
        <v>445</v>
      </c>
      <c r="C104" s="85">
        <v>1018410361</v>
      </c>
      <c r="D104" s="85" t="s">
        <v>446</v>
      </c>
      <c r="E104" s="85">
        <v>4800</v>
      </c>
      <c r="F104" s="247">
        <v>48</v>
      </c>
      <c r="G104" s="87" t="s">
        <v>382</v>
      </c>
      <c r="H104" s="92" t="s">
        <v>283</v>
      </c>
      <c r="I104" s="85" t="s">
        <v>447</v>
      </c>
    </row>
    <row r="105" ht="27.75" customHeight="1" spans="1:9">
      <c r="A105" s="61"/>
      <c r="B105" s="85" t="s">
        <v>448</v>
      </c>
      <c r="C105" s="85">
        <v>353807714</v>
      </c>
      <c r="D105" s="85" t="s">
        <v>449</v>
      </c>
      <c r="E105" s="85">
        <v>4800</v>
      </c>
      <c r="F105" s="247">
        <v>48</v>
      </c>
      <c r="G105" s="87" t="s">
        <v>241</v>
      </c>
      <c r="H105" s="92" t="s">
        <v>283</v>
      </c>
      <c r="I105" s="85" t="s">
        <v>450</v>
      </c>
    </row>
    <row r="106" ht="27.75" customHeight="1" spans="1:9">
      <c r="A106" s="61"/>
      <c r="B106" s="85" t="s">
        <v>451</v>
      </c>
      <c r="C106" s="85">
        <v>250268031</v>
      </c>
      <c r="D106" s="85"/>
      <c r="E106" s="85">
        <v>4700</v>
      </c>
      <c r="F106" s="248">
        <v>47</v>
      </c>
      <c r="G106" s="87" t="s">
        <v>76</v>
      </c>
      <c r="H106" s="92" t="s">
        <v>275</v>
      </c>
      <c r="I106" s="85" t="s">
        <v>452</v>
      </c>
    </row>
    <row r="107" ht="27.75" customHeight="1" spans="1:9">
      <c r="A107" s="61"/>
      <c r="B107" s="85" t="s">
        <v>453</v>
      </c>
      <c r="C107" s="85">
        <v>352629086</v>
      </c>
      <c r="D107" s="82"/>
      <c r="E107" s="85">
        <v>4000</v>
      </c>
      <c r="F107" s="249">
        <v>46</v>
      </c>
      <c r="G107" s="87" t="s">
        <v>89</v>
      </c>
      <c r="H107" s="92" t="s">
        <v>277</v>
      </c>
      <c r="I107" s="85" t="s">
        <v>454</v>
      </c>
    </row>
    <row r="108" ht="27.75" customHeight="1" spans="1:9">
      <c r="A108" s="61"/>
      <c r="B108" s="85" t="s">
        <v>124</v>
      </c>
      <c r="C108" s="85">
        <v>320479234</v>
      </c>
      <c r="D108" s="85" t="s">
        <v>455</v>
      </c>
      <c r="E108" s="85">
        <v>4990</v>
      </c>
      <c r="F108" s="164">
        <v>45</v>
      </c>
      <c r="G108" s="87" t="s">
        <v>261</v>
      </c>
      <c r="H108" s="92" t="s">
        <v>275</v>
      </c>
      <c r="I108" s="85" t="s">
        <v>176</v>
      </c>
    </row>
    <row r="109" ht="27.75" customHeight="1" spans="1:9">
      <c r="A109" s="61"/>
      <c r="B109" s="85" t="s">
        <v>141</v>
      </c>
      <c r="C109" s="85">
        <v>1252995584</v>
      </c>
      <c r="D109" s="85" t="s">
        <v>141</v>
      </c>
      <c r="E109" s="85">
        <v>4500</v>
      </c>
      <c r="F109" s="85">
        <v>45</v>
      </c>
      <c r="G109" s="87" t="s">
        <v>261</v>
      </c>
      <c r="H109" s="92" t="s">
        <v>277</v>
      </c>
      <c r="I109" s="85" t="s">
        <v>456</v>
      </c>
    </row>
    <row r="110" ht="27.75" customHeight="1" spans="1:9">
      <c r="A110" s="61">
        <v>4</v>
      </c>
      <c r="B110" s="85" t="s">
        <v>457</v>
      </c>
      <c r="C110" s="85">
        <v>77006306</v>
      </c>
      <c r="D110" s="85" t="s">
        <v>458</v>
      </c>
      <c r="E110" s="85">
        <v>4600</v>
      </c>
      <c r="F110" s="164">
        <v>45</v>
      </c>
      <c r="G110" s="87" t="s">
        <v>260</v>
      </c>
      <c r="H110" s="92" t="s">
        <v>277</v>
      </c>
      <c r="I110" s="85" t="s">
        <v>459</v>
      </c>
    </row>
    <row r="111" ht="27.75" customHeight="1" spans="1:9">
      <c r="A111" s="61"/>
      <c r="B111" s="141" t="s">
        <v>460</v>
      </c>
      <c r="C111" s="85">
        <v>339299080</v>
      </c>
      <c r="D111" s="85" t="s">
        <v>461</v>
      </c>
      <c r="E111" s="85">
        <v>5500</v>
      </c>
      <c r="F111" s="164">
        <v>45</v>
      </c>
      <c r="G111" s="87" t="s">
        <v>135</v>
      </c>
      <c r="H111" s="92" t="s">
        <v>283</v>
      </c>
      <c r="I111" s="85" t="s">
        <v>462</v>
      </c>
    </row>
    <row r="112" ht="27.75" customHeight="1" spans="1:9">
      <c r="A112" s="61"/>
      <c r="B112" s="85" t="s">
        <v>463</v>
      </c>
      <c r="C112" s="85">
        <v>141166215</v>
      </c>
      <c r="D112" s="85" t="s">
        <v>464</v>
      </c>
      <c r="E112" s="85">
        <v>4500</v>
      </c>
      <c r="F112" s="164">
        <v>45</v>
      </c>
      <c r="G112" s="87" t="s">
        <v>267</v>
      </c>
      <c r="H112" s="92" t="s">
        <v>283</v>
      </c>
      <c r="I112" s="85" t="s">
        <v>177</v>
      </c>
    </row>
    <row r="113" ht="27.75" customHeight="1" spans="1:9">
      <c r="A113" s="85">
        <v>11</v>
      </c>
      <c r="B113" s="144" t="s">
        <v>465</v>
      </c>
      <c r="C113" s="85"/>
      <c r="D113" s="85" t="s">
        <v>465</v>
      </c>
      <c r="E113" s="85">
        <v>5500</v>
      </c>
      <c r="F113" s="85">
        <v>45</v>
      </c>
      <c r="G113" s="87" t="s">
        <v>261</v>
      </c>
      <c r="H113" s="92" t="s">
        <v>283</v>
      </c>
      <c r="I113" s="85"/>
    </row>
    <row r="114" ht="32.25" customHeight="1" spans="1:9">
      <c r="A114" s="61"/>
      <c r="B114" s="85" t="s">
        <v>99</v>
      </c>
      <c r="C114" s="85">
        <v>138720710</v>
      </c>
      <c r="D114" s="85" t="s">
        <v>466</v>
      </c>
      <c r="E114" s="85">
        <v>3800</v>
      </c>
      <c r="F114" s="250">
        <v>44</v>
      </c>
      <c r="G114" s="87" t="s">
        <v>89</v>
      </c>
      <c r="H114" s="92" t="s">
        <v>275</v>
      </c>
      <c r="I114" s="85" t="s">
        <v>181</v>
      </c>
    </row>
    <row r="115" ht="32.25" customHeight="1" spans="1:9">
      <c r="A115" s="61"/>
      <c r="B115" s="85" t="s">
        <v>123</v>
      </c>
      <c r="C115" s="85">
        <v>370449300</v>
      </c>
      <c r="D115" s="237" t="s">
        <v>467</v>
      </c>
      <c r="E115" s="85">
        <v>4500</v>
      </c>
      <c r="F115" s="250">
        <v>44</v>
      </c>
      <c r="G115" s="87" t="s">
        <v>231</v>
      </c>
      <c r="H115" s="92" t="s">
        <v>283</v>
      </c>
      <c r="I115" s="85" t="s">
        <v>178</v>
      </c>
    </row>
    <row r="116" ht="32.25" customHeight="1" spans="1:9">
      <c r="A116" s="61"/>
      <c r="B116" s="85" t="s">
        <v>468</v>
      </c>
      <c r="C116" s="85">
        <v>339124546</v>
      </c>
      <c r="D116" s="85" t="s">
        <v>468</v>
      </c>
      <c r="E116" s="85">
        <v>4500</v>
      </c>
      <c r="F116" s="250">
        <v>44</v>
      </c>
      <c r="G116" s="87" t="s">
        <v>469</v>
      </c>
      <c r="H116" s="92" t="s">
        <v>283</v>
      </c>
      <c r="I116" s="85" t="s">
        <v>470</v>
      </c>
    </row>
    <row r="117" ht="32.25" customHeight="1" spans="1:9">
      <c r="A117" s="61"/>
      <c r="B117" s="61" t="s">
        <v>471</v>
      </c>
      <c r="C117" s="85">
        <v>283183148</v>
      </c>
      <c r="D117" s="85" t="s">
        <v>472</v>
      </c>
      <c r="E117" s="85">
        <v>4500</v>
      </c>
      <c r="F117" s="250">
        <v>44</v>
      </c>
      <c r="G117" s="87" t="s">
        <v>263</v>
      </c>
      <c r="H117" s="92" t="s">
        <v>283</v>
      </c>
      <c r="I117" s="85" t="s">
        <v>473</v>
      </c>
    </row>
    <row r="118" ht="32.25" customHeight="1" spans="1:9">
      <c r="A118" s="61">
        <v>4</v>
      </c>
      <c r="B118" s="144" t="s">
        <v>474</v>
      </c>
      <c r="C118" s="82">
        <v>196524389</v>
      </c>
      <c r="D118" s="85" t="s">
        <v>475</v>
      </c>
      <c r="E118" s="85">
        <v>5300</v>
      </c>
      <c r="F118" s="251">
        <v>43</v>
      </c>
      <c r="G118" s="87" t="s">
        <v>259</v>
      </c>
      <c r="H118" s="92" t="s">
        <v>283</v>
      </c>
      <c r="I118" s="85" t="s">
        <v>476</v>
      </c>
    </row>
    <row r="119" ht="32.25" customHeight="1" spans="1:9">
      <c r="A119" s="61"/>
      <c r="B119" s="85" t="s">
        <v>477</v>
      </c>
      <c r="C119" s="82"/>
      <c r="D119" s="85" t="s">
        <v>478</v>
      </c>
      <c r="E119" s="85">
        <v>4300</v>
      </c>
      <c r="F119" s="251">
        <v>43</v>
      </c>
      <c r="G119" s="87" t="s">
        <v>479</v>
      </c>
      <c r="H119" s="92" t="s">
        <v>283</v>
      </c>
      <c r="I119" s="85" t="s">
        <v>480</v>
      </c>
    </row>
    <row r="120" ht="32.25" customHeight="1" spans="1:9">
      <c r="A120" s="85"/>
      <c r="B120" s="85" t="s">
        <v>481</v>
      </c>
      <c r="C120" s="85">
        <v>338904148</v>
      </c>
      <c r="D120" s="85" t="s">
        <v>482</v>
      </c>
      <c r="E120" s="85">
        <v>4300</v>
      </c>
      <c r="F120" s="85">
        <v>43</v>
      </c>
      <c r="G120" s="87" t="s">
        <v>483</v>
      </c>
      <c r="H120" s="92" t="s">
        <v>283</v>
      </c>
      <c r="I120" s="85" t="s">
        <v>484</v>
      </c>
    </row>
    <row r="121" ht="32.25" customHeight="1" spans="1:9">
      <c r="A121" s="61"/>
      <c r="B121" s="85" t="s">
        <v>485</v>
      </c>
      <c r="C121" s="85">
        <v>101126670</v>
      </c>
      <c r="D121" s="85" t="s">
        <v>485</v>
      </c>
      <c r="E121" s="85">
        <v>3900</v>
      </c>
      <c r="F121" s="252">
        <v>42</v>
      </c>
      <c r="G121" s="87" t="s">
        <v>268</v>
      </c>
      <c r="H121" s="92" t="s">
        <v>283</v>
      </c>
      <c r="I121" s="85" t="s">
        <v>183</v>
      </c>
    </row>
    <row r="122" ht="32.25" customHeight="1" spans="1:9">
      <c r="A122" s="61"/>
      <c r="B122" s="144" t="s">
        <v>486</v>
      </c>
      <c r="C122" s="85">
        <v>481300375</v>
      </c>
      <c r="D122" s="85" t="s">
        <v>487</v>
      </c>
      <c r="E122" s="85">
        <v>4000</v>
      </c>
      <c r="F122" s="253">
        <v>41</v>
      </c>
      <c r="G122" s="87" t="s">
        <v>262</v>
      </c>
      <c r="H122" s="92" t="s">
        <v>275</v>
      </c>
      <c r="I122" s="85" t="s">
        <v>488</v>
      </c>
    </row>
    <row r="123" ht="32.25" customHeight="1" spans="1:9">
      <c r="A123" s="61">
        <v>14</v>
      </c>
      <c r="B123" s="144" t="s">
        <v>489</v>
      </c>
      <c r="C123" s="85">
        <v>228914641</v>
      </c>
      <c r="D123" s="85" t="s">
        <v>489</v>
      </c>
      <c r="E123" s="85">
        <v>4600</v>
      </c>
      <c r="F123" s="253">
        <v>41</v>
      </c>
      <c r="G123" s="87" t="s">
        <v>261</v>
      </c>
      <c r="H123" s="92" t="s">
        <v>283</v>
      </c>
      <c r="I123" s="85" t="s">
        <v>490</v>
      </c>
    </row>
    <row r="124" ht="32.25" customHeight="1" spans="1:9">
      <c r="A124" s="61"/>
      <c r="B124" s="85" t="s">
        <v>491</v>
      </c>
      <c r="C124" s="85">
        <v>144082026</v>
      </c>
      <c r="D124" s="85" t="s">
        <v>492</v>
      </c>
      <c r="E124" s="85">
        <v>4100</v>
      </c>
      <c r="F124" s="253">
        <v>41</v>
      </c>
      <c r="G124" s="87" t="s">
        <v>493</v>
      </c>
      <c r="H124" s="92" t="s">
        <v>283</v>
      </c>
      <c r="I124" s="85" t="s">
        <v>494</v>
      </c>
    </row>
    <row r="125" ht="32.25" customHeight="1" spans="1:9">
      <c r="A125" s="61"/>
      <c r="B125" s="144" t="s">
        <v>495</v>
      </c>
      <c r="C125" s="85">
        <v>242392429</v>
      </c>
      <c r="D125" s="85" t="s">
        <v>496</v>
      </c>
      <c r="E125" s="85">
        <v>4000</v>
      </c>
      <c r="F125" s="254">
        <v>40</v>
      </c>
      <c r="G125" s="87" t="s">
        <v>135</v>
      </c>
      <c r="H125" s="92" t="s">
        <v>277</v>
      </c>
      <c r="I125" s="85" t="s">
        <v>497</v>
      </c>
    </row>
    <row r="126" ht="32.25" customHeight="1" spans="1:9">
      <c r="A126" s="85">
        <v>21</v>
      </c>
      <c r="B126" s="85" t="s">
        <v>184</v>
      </c>
      <c r="C126" s="85">
        <v>351772086</v>
      </c>
      <c r="D126" s="85" t="s">
        <v>498</v>
      </c>
      <c r="E126" s="85">
        <v>3000</v>
      </c>
      <c r="F126" s="85">
        <v>40</v>
      </c>
      <c r="G126" s="87" t="s">
        <v>238</v>
      </c>
      <c r="H126" s="92" t="s">
        <v>277</v>
      </c>
      <c r="I126" s="85" t="s">
        <v>185</v>
      </c>
    </row>
    <row r="127" ht="32.25" customHeight="1" spans="1:9">
      <c r="A127" s="61"/>
      <c r="B127" s="103" t="s">
        <v>499</v>
      </c>
      <c r="C127" s="85">
        <v>454030900</v>
      </c>
      <c r="D127" s="85" t="s">
        <v>500</v>
      </c>
      <c r="E127" s="85">
        <v>5700</v>
      </c>
      <c r="F127" s="85">
        <v>40</v>
      </c>
      <c r="G127" s="87" t="s">
        <v>261</v>
      </c>
      <c r="H127" s="92" t="s">
        <v>283</v>
      </c>
      <c r="I127" s="85" t="s">
        <v>501</v>
      </c>
    </row>
    <row r="128" ht="32.25" customHeight="1" spans="1:9">
      <c r="A128" s="61"/>
      <c r="B128" s="144" t="s">
        <v>502</v>
      </c>
      <c r="C128" s="85">
        <v>248725489</v>
      </c>
      <c r="D128" s="85" t="s">
        <v>503</v>
      </c>
      <c r="E128" s="85">
        <v>5000</v>
      </c>
      <c r="F128" s="254">
        <v>40</v>
      </c>
      <c r="G128" s="87" t="s">
        <v>261</v>
      </c>
      <c r="H128" s="92" t="s">
        <v>283</v>
      </c>
      <c r="I128" s="82"/>
    </row>
    <row r="129" ht="32.25" customHeight="1" spans="1:9">
      <c r="A129" s="61"/>
      <c r="B129" s="141" t="s">
        <v>504</v>
      </c>
      <c r="C129" s="85">
        <v>1426399320</v>
      </c>
      <c r="D129" s="85" t="s">
        <v>504</v>
      </c>
      <c r="E129" s="85">
        <v>4000</v>
      </c>
      <c r="F129" s="254">
        <v>40</v>
      </c>
      <c r="G129" s="87" t="s">
        <v>236</v>
      </c>
      <c r="H129" s="92" t="s">
        <v>283</v>
      </c>
      <c r="I129" s="85"/>
    </row>
    <row r="130" ht="32.25" customHeight="1" spans="1:9">
      <c r="A130" s="61"/>
      <c r="B130" s="144" t="s">
        <v>505</v>
      </c>
      <c r="C130" s="85">
        <v>92396193</v>
      </c>
      <c r="D130" s="85" t="s">
        <v>506</v>
      </c>
      <c r="E130" s="85">
        <v>4000</v>
      </c>
      <c r="F130" s="254">
        <v>40</v>
      </c>
      <c r="G130" s="87" t="s">
        <v>261</v>
      </c>
      <c r="H130" s="92" t="s">
        <v>283</v>
      </c>
      <c r="I130" s="85" t="s">
        <v>507</v>
      </c>
    </row>
    <row r="131" ht="32.25" customHeight="1" spans="1:9">
      <c r="A131" s="61"/>
      <c r="B131" s="85" t="s">
        <v>508</v>
      </c>
      <c r="C131" s="85">
        <v>307313183</v>
      </c>
      <c r="D131" s="85" t="s">
        <v>509</v>
      </c>
      <c r="E131" s="85">
        <v>4000</v>
      </c>
      <c r="F131" s="254">
        <v>40</v>
      </c>
      <c r="G131" s="87" t="s">
        <v>262</v>
      </c>
      <c r="H131" s="92" t="s">
        <v>283</v>
      </c>
      <c r="I131" s="85" t="s">
        <v>510</v>
      </c>
    </row>
    <row r="132" ht="32.25" customHeight="1" spans="1:9">
      <c r="A132" s="61"/>
      <c r="B132" s="141" t="s">
        <v>511</v>
      </c>
      <c r="C132" s="85">
        <v>1248341912</v>
      </c>
      <c r="D132" s="85" t="s">
        <v>512</v>
      </c>
      <c r="E132" s="85">
        <v>3700</v>
      </c>
      <c r="F132" s="254">
        <v>40</v>
      </c>
      <c r="G132" s="87" t="s">
        <v>76</v>
      </c>
      <c r="H132" s="92" t="s">
        <v>283</v>
      </c>
      <c r="I132" s="85" t="s">
        <v>513</v>
      </c>
    </row>
    <row r="133" ht="32.25" customHeight="1" spans="1:9">
      <c r="A133" s="85">
        <v>17</v>
      </c>
      <c r="B133" s="85" t="s">
        <v>514</v>
      </c>
      <c r="C133" s="85">
        <v>158643480</v>
      </c>
      <c r="D133" s="85" t="s">
        <v>514</v>
      </c>
      <c r="E133" s="85">
        <v>4000</v>
      </c>
      <c r="F133" s="85">
        <v>40</v>
      </c>
      <c r="G133" s="87" t="s">
        <v>241</v>
      </c>
      <c r="H133" s="92" t="s">
        <v>283</v>
      </c>
      <c r="I133" s="85" t="s">
        <v>515</v>
      </c>
    </row>
    <row r="134" ht="32.25" customHeight="1" spans="1:9">
      <c r="A134" s="85"/>
      <c r="B134" s="85" t="s">
        <v>516</v>
      </c>
      <c r="C134" s="85">
        <v>195765398</v>
      </c>
      <c r="D134" s="85" t="s">
        <v>517</v>
      </c>
      <c r="E134" s="85">
        <v>4000</v>
      </c>
      <c r="F134" s="85">
        <v>40</v>
      </c>
      <c r="G134" s="87" t="s">
        <v>241</v>
      </c>
      <c r="H134" s="92" t="s">
        <v>283</v>
      </c>
      <c r="I134" s="85"/>
    </row>
    <row r="135" ht="32.25" customHeight="1" spans="1:9">
      <c r="A135" s="85">
        <v>31</v>
      </c>
      <c r="B135" s="85" t="s">
        <v>160</v>
      </c>
      <c r="C135" s="85">
        <v>148343069</v>
      </c>
      <c r="D135" s="85" t="s">
        <v>518</v>
      </c>
      <c r="E135" s="85">
        <v>4000</v>
      </c>
      <c r="F135" s="85">
        <v>40</v>
      </c>
      <c r="G135" s="87" t="s">
        <v>243</v>
      </c>
      <c r="H135" s="92" t="s">
        <v>283</v>
      </c>
      <c r="I135" s="85" t="s">
        <v>186</v>
      </c>
    </row>
    <row r="136" ht="32.25" customHeight="1" spans="1:9">
      <c r="A136" s="61"/>
      <c r="B136" s="85" t="s">
        <v>519</v>
      </c>
      <c r="C136" s="85">
        <v>141668442</v>
      </c>
      <c r="D136" s="85" t="s">
        <v>520</v>
      </c>
      <c r="E136" s="85">
        <v>3900</v>
      </c>
      <c r="F136" s="255">
        <v>39</v>
      </c>
      <c r="G136" s="87" t="s">
        <v>241</v>
      </c>
      <c r="H136" s="92" t="s">
        <v>277</v>
      </c>
      <c r="I136" s="85" t="s">
        <v>521</v>
      </c>
    </row>
    <row r="137" ht="32.25" customHeight="1" spans="1:9">
      <c r="A137" s="61"/>
      <c r="B137" s="141" t="s">
        <v>522</v>
      </c>
      <c r="C137" s="85">
        <v>174406634</v>
      </c>
      <c r="D137" s="85" t="s">
        <v>523</v>
      </c>
      <c r="E137" s="85">
        <v>4500</v>
      </c>
      <c r="F137" s="255">
        <v>39</v>
      </c>
      <c r="G137" s="87" t="s">
        <v>135</v>
      </c>
      <c r="H137" s="92" t="s">
        <v>283</v>
      </c>
      <c r="I137" s="85" t="s">
        <v>462</v>
      </c>
    </row>
    <row r="138" ht="32.25" customHeight="1" spans="1:9">
      <c r="A138" s="61"/>
      <c r="B138" s="85" t="s">
        <v>524</v>
      </c>
      <c r="C138" s="85">
        <v>352619931</v>
      </c>
      <c r="D138" s="85"/>
      <c r="E138" s="85">
        <v>4000</v>
      </c>
      <c r="F138" s="256">
        <v>38</v>
      </c>
      <c r="G138" s="87" t="s">
        <v>260</v>
      </c>
      <c r="H138" s="92" t="s">
        <v>277</v>
      </c>
      <c r="I138" s="82"/>
    </row>
    <row r="139" ht="32.25" customHeight="1" spans="1:9">
      <c r="A139" s="61"/>
      <c r="B139" s="141" t="s">
        <v>525</v>
      </c>
      <c r="C139" s="85">
        <v>256841976</v>
      </c>
      <c r="D139" s="85" t="s">
        <v>526</v>
      </c>
      <c r="E139" s="85">
        <v>3800</v>
      </c>
      <c r="F139" s="256">
        <v>38</v>
      </c>
      <c r="G139" s="87" t="s">
        <v>97</v>
      </c>
      <c r="H139" s="92" t="s">
        <v>283</v>
      </c>
      <c r="I139" s="85" t="s">
        <v>526</v>
      </c>
    </row>
    <row r="140" ht="32.25" customHeight="1" spans="1:9">
      <c r="A140" s="61"/>
      <c r="B140" s="85" t="s">
        <v>527</v>
      </c>
      <c r="C140" s="85">
        <v>132216293</v>
      </c>
      <c r="D140" s="82"/>
      <c r="E140" s="85">
        <v>3800</v>
      </c>
      <c r="F140" s="257">
        <v>37</v>
      </c>
      <c r="G140" s="87" t="s">
        <v>76</v>
      </c>
      <c r="H140" s="92" t="s">
        <v>277</v>
      </c>
      <c r="I140" s="85" t="s">
        <v>528</v>
      </c>
    </row>
    <row r="141" ht="32.25" customHeight="1" spans="1:9">
      <c r="A141" s="61"/>
      <c r="B141" s="144" t="s">
        <v>529</v>
      </c>
      <c r="C141" s="85">
        <v>308829979</v>
      </c>
      <c r="D141" s="85" t="s">
        <v>530</v>
      </c>
      <c r="E141" s="85">
        <v>4000</v>
      </c>
      <c r="F141" s="258">
        <v>35</v>
      </c>
      <c r="G141" s="87" t="s">
        <v>135</v>
      </c>
      <c r="H141" s="92" t="s">
        <v>283</v>
      </c>
      <c r="I141" s="85" t="s">
        <v>531</v>
      </c>
    </row>
    <row r="142" ht="32.25" customHeight="1" spans="1:9">
      <c r="A142" s="61"/>
      <c r="B142" s="144" t="s">
        <v>532</v>
      </c>
      <c r="C142" s="85">
        <v>316793164</v>
      </c>
      <c r="D142" s="85" t="s">
        <v>532</v>
      </c>
      <c r="E142" s="85">
        <v>3800</v>
      </c>
      <c r="F142" s="258">
        <v>35</v>
      </c>
      <c r="G142" s="87" t="s">
        <v>135</v>
      </c>
      <c r="H142" s="92" t="s">
        <v>283</v>
      </c>
      <c r="I142" s="85"/>
    </row>
    <row r="143" ht="32.25" customHeight="1" spans="1:9">
      <c r="A143" s="61"/>
      <c r="B143" s="85" t="s">
        <v>533</v>
      </c>
      <c r="C143" s="85">
        <v>143957438</v>
      </c>
      <c r="D143" s="85"/>
      <c r="E143" s="85">
        <v>3500</v>
      </c>
      <c r="F143" s="258">
        <v>35</v>
      </c>
      <c r="G143" s="87" t="s">
        <v>81</v>
      </c>
      <c r="H143" s="92" t="s">
        <v>283</v>
      </c>
      <c r="I143" s="85" t="s">
        <v>534</v>
      </c>
    </row>
    <row r="144" ht="32.25" customHeight="1" spans="1:9">
      <c r="A144" s="85"/>
      <c r="B144" s="103" t="s">
        <v>535</v>
      </c>
      <c r="C144" s="85">
        <v>1021192778</v>
      </c>
      <c r="D144" s="85" t="s">
        <v>536</v>
      </c>
      <c r="E144" s="85">
        <v>5800</v>
      </c>
      <c r="F144" s="85">
        <v>35</v>
      </c>
      <c r="G144" s="87" t="s">
        <v>135</v>
      </c>
      <c r="H144" s="92" t="s">
        <v>283</v>
      </c>
      <c r="I144" s="85" t="s">
        <v>537</v>
      </c>
    </row>
    <row r="145" ht="32.25" customHeight="1" spans="1:9">
      <c r="A145" s="61">
        <v>9</v>
      </c>
      <c r="B145" s="144" t="s">
        <v>179</v>
      </c>
      <c r="C145" s="85">
        <v>400294058</v>
      </c>
      <c r="D145" s="85" t="s">
        <v>179</v>
      </c>
      <c r="E145" s="85">
        <v>4000</v>
      </c>
      <c r="F145" s="259">
        <v>34</v>
      </c>
      <c r="G145" s="87" t="s">
        <v>261</v>
      </c>
      <c r="H145" s="92" t="s">
        <v>283</v>
      </c>
      <c r="I145" s="82"/>
    </row>
    <row r="146" ht="32.25" customHeight="1" spans="1:9">
      <c r="A146" s="85">
        <v>20</v>
      </c>
      <c r="B146" s="85" t="s">
        <v>157</v>
      </c>
      <c r="C146" s="85">
        <v>168661508</v>
      </c>
      <c r="D146" s="85" t="s">
        <v>538</v>
      </c>
      <c r="E146" s="85">
        <v>3400</v>
      </c>
      <c r="F146" s="85">
        <v>34</v>
      </c>
      <c r="G146" s="87" t="s">
        <v>261</v>
      </c>
      <c r="H146" s="92" t="s">
        <v>283</v>
      </c>
      <c r="I146" s="85" t="s">
        <v>189</v>
      </c>
    </row>
    <row r="147" ht="32.25" customHeight="1" spans="1:9">
      <c r="A147" s="61"/>
      <c r="B147" s="85" t="s">
        <v>144</v>
      </c>
      <c r="C147" s="85">
        <v>124599786</v>
      </c>
      <c r="D147" s="85" t="s">
        <v>539</v>
      </c>
      <c r="E147" s="85">
        <v>3300</v>
      </c>
      <c r="F147" s="260">
        <v>33</v>
      </c>
      <c r="G147" s="87" t="s">
        <v>267</v>
      </c>
      <c r="H147" s="92" t="s">
        <v>283</v>
      </c>
      <c r="I147" s="85" t="s">
        <v>191</v>
      </c>
    </row>
    <row r="148" ht="32.25" customHeight="1" spans="1:9">
      <c r="A148" s="61"/>
      <c r="B148" s="85" t="s">
        <v>540</v>
      </c>
      <c r="C148" s="85" t="s">
        <v>541</v>
      </c>
      <c r="D148" s="85"/>
      <c r="E148" s="85">
        <v>3300</v>
      </c>
      <c r="F148" s="260">
        <v>33</v>
      </c>
      <c r="G148" s="87" t="s">
        <v>262</v>
      </c>
      <c r="H148" s="92" t="s">
        <v>283</v>
      </c>
      <c r="I148" s="85" t="s">
        <v>542</v>
      </c>
    </row>
    <row r="149" ht="32.25" customHeight="1" spans="1:9">
      <c r="A149" s="61"/>
      <c r="B149" s="85" t="s">
        <v>543</v>
      </c>
      <c r="C149" s="85">
        <v>139696981</v>
      </c>
      <c r="D149" s="85" t="s">
        <v>544</v>
      </c>
      <c r="E149" s="85">
        <v>3200</v>
      </c>
      <c r="F149" s="261">
        <v>32</v>
      </c>
      <c r="G149" s="87" t="s">
        <v>261</v>
      </c>
      <c r="H149" s="92" t="s">
        <v>283</v>
      </c>
      <c r="I149" s="85" t="s">
        <v>545</v>
      </c>
    </row>
    <row r="150" ht="32.25" customHeight="1" spans="1:9">
      <c r="A150" s="61"/>
      <c r="B150" s="85" t="s">
        <v>546</v>
      </c>
      <c r="C150" s="85">
        <v>139693504</v>
      </c>
      <c r="D150" s="85"/>
      <c r="E150" s="85">
        <v>3200</v>
      </c>
      <c r="F150" s="261">
        <v>32</v>
      </c>
      <c r="G150" s="87" t="s">
        <v>241</v>
      </c>
      <c r="H150" s="92" t="s">
        <v>283</v>
      </c>
      <c r="I150" s="85" t="s">
        <v>547</v>
      </c>
    </row>
    <row r="151" ht="32.25" customHeight="1" spans="1:9">
      <c r="A151" s="61"/>
      <c r="B151" s="85" t="s">
        <v>548</v>
      </c>
      <c r="C151" s="85">
        <v>137784091</v>
      </c>
      <c r="D151" s="85" t="s">
        <v>549</v>
      </c>
      <c r="E151" s="85">
        <v>3200</v>
      </c>
      <c r="F151" s="261">
        <v>32</v>
      </c>
      <c r="G151" s="87" t="s">
        <v>261</v>
      </c>
      <c r="H151" s="92" t="s">
        <v>283</v>
      </c>
      <c r="I151" s="85" t="s">
        <v>192</v>
      </c>
    </row>
    <row r="152" ht="32.25" customHeight="1" spans="1:9">
      <c r="A152" s="61"/>
      <c r="B152" s="85" t="s">
        <v>550</v>
      </c>
      <c r="C152" s="85">
        <v>137500879</v>
      </c>
      <c r="D152" s="85" t="s">
        <v>551</v>
      </c>
      <c r="E152" s="85">
        <v>3000</v>
      </c>
      <c r="F152" s="262">
        <v>30</v>
      </c>
      <c r="G152" s="87" t="s">
        <v>241</v>
      </c>
      <c r="H152" s="92" t="s">
        <v>275</v>
      </c>
      <c r="I152" s="85" t="s">
        <v>552</v>
      </c>
    </row>
    <row r="153" ht="32.25" customHeight="1" spans="1:9">
      <c r="A153" s="61"/>
      <c r="B153" s="144" t="s">
        <v>94</v>
      </c>
      <c r="C153" s="85">
        <v>136636318</v>
      </c>
      <c r="D153" s="85" t="s">
        <v>553</v>
      </c>
      <c r="E153" s="85">
        <v>3000</v>
      </c>
      <c r="F153" s="262">
        <v>30</v>
      </c>
      <c r="G153" s="87" t="s">
        <v>89</v>
      </c>
      <c r="H153" s="92" t="s">
        <v>283</v>
      </c>
      <c r="I153" s="85" t="s">
        <v>193</v>
      </c>
    </row>
    <row r="154" ht="32.25" customHeight="1" spans="1:9">
      <c r="A154" s="61"/>
      <c r="B154" s="103" t="s">
        <v>174</v>
      </c>
      <c r="C154" s="85">
        <v>245304772</v>
      </c>
      <c r="D154" s="85" t="s">
        <v>554</v>
      </c>
      <c r="E154" s="85">
        <v>3646</v>
      </c>
      <c r="F154" s="262">
        <v>30</v>
      </c>
      <c r="G154" s="87" t="s">
        <v>261</v>
      </c>
      <c r="H154" s="92" t="s">
        <v>283</v>
      </c>
      <c r="I154" s="85" t="s">
        <v>194</v>
      </c>
    </row>
    <row r="155" ht="32.25" customHeight="1" spans="1:9">
      <c r="A155" s="61"/>
      <c r="B155" s="85" t="s">
        <v>180</v>
      </c>
      <c r="C155" s="82"/>
      <c r="D155" s="85" t="s">
        <v>555</v>
      </c>
      <c r="E155" s="85">
        <v>3000</v>
      </c>
      <c r="F155" s="262">
        <v>30</v>
      </c>
      <c r="G155" s="87" t="s">
        <v>76</v>
      </c>
      <c r="H155" s="92" t="s">
        <v>283</v>
      </c>
      <c r="I155" s="82"/>
    </row>
    <row r="156" ht="32.25" customHeight="1" spans="1:9">
      <c r="A156" s="61"/>
      <c r="B156" s="85" t="s">
        <v>556</v>
      </c>
      <c r="C156" s="85"/>
      <c r="D156" s="85" t="s">
        <v>557</v>
      </c>
      <c r="E156" s="85">
        <v>3000</v>
      </c>
      <c r="F156" s="85">
        <v>30</v>
      </c>
      <c r="G156" s="87" t="s">
        <v>231</v>
      </c>
      <c r="H156" s="92" t="s">
        <v>283</v>
      </c>
      <c r="I156" s="85" t="s">
        <v>558</v>
      </c>
    </row>
    <row r="157" ht="32.25" customHeight="1" spans="1:9">
      <c r="A157" s="61"/>
      <c r="B157" s="85" t="s">
        <v>559</v>
      </c>
      <c r="C157" s="85">
        <v>136825778</v>
      </c>
      <c r="D157" s="85" t="s">
        <v>559</v>
      </c>
      <c r="E157" s="85">
        <v>3000</v>
      </c>
      <c r="F157" s="263">
        <v>29</v>
      </c>
      <c r="G157" s="87" t="s">
        <v>261</v>
      </c>
      <c r="H157" s="92" t="s">
        <v>283</v>
      </c>
      <c r="I157" s="85" t="s">
        <v>560</v>
      </c>
    </row>
    <row r="158" ht="32.25" customHeight="1" spans="1:9">
      <c r="A158" s="61"/>
      <c r="B158" s="144" t="s">
        <v>143</v>
      </c>
      <c r="C158" s="85">
        <v>283980530</v>
      </c>
      <c r="D158" s="85" t="s">
        <v>561</v>
      </c>
      <c r="E158" s="85">
        <v>2000</v>
      </c>
      <c r="F158" s="264">
        <v>28</v>
      </c>
      <c r="G158" s="87" t="s">
        <v>269</v>
      </c>
      <c r="H158" s="92" t="s">
        <v>275</v>
      </c>
      <c r="I158" s="85" t="s">
        <v>198</v>
      </c>
    </row>
    <row r="159" ht="32.25" customHeight="1" spans="1:9">
      <c r="A159" s="61"/>
      <c r="B159" s="144" t="s">
        <v>562</v>
      </c>
      <c r="C159" s="85">
        <v>248577940</v>
      </c>
      <c r="D159" s="85" t="s">
        <v>563</v>
      </c>
      <c r="E159" s="85">
        <v>4000</v>
      </c>
      <c r="F159" s="264">
        <v>28</v>
      </c>
      <c r="G159" s="87" t="s">
        <v>261</v>
      </c>
      <c r="H159" s="92" t="s">
        <v>283</v>
      </c>
      <c r="I159" s="85" t="s">
        <v>564</v>
      </c>
    </row>
    <row r="160" ht="32.25" customHeight="1" spans="1:9">
      <c r="A160" s="61"/>
      <c r="B160" s="85" t="s">
        <v>187</v>
      </c>
      <c r="C160" s="82">
        <v>449128986</v>
      </c>
      <c r="D160" s="85" t="s">
        <v>187</v>
      </c>
      <c r="E160" s="85">
        <v>2900</v>
      </c>
      <c r="F160" s="264">
        <v>28</v>
      </c>
      <c r="G160" s="87" t="s">
        <v>259</v>
      </c>
      <c r="H160" s="92" t="s">
        <v>283</v>
      </c>
      <c r="I160" s="85" t="s">
        <v>196</v>
      </c>
    </row>
    <row r="161" ht="32.25" customHeight="1" spans="1:9">
      <c r="A161" s="61"/>
      <c r="B161" s="85" t="s">
        <v>565</v>
      </c>
      <c r="C161" s="85">
        <v>164129499</v>
      </c>
      <c r="D161" s="85" t="s">
        <v>565</v>
      </c>
      <c r="E161" s="85">
        <v>2000</v>
      </c>
      <c r="F161" s="265">
        <v>26</v>
      </c>
      <c r="G161" s="87" t="s">
        <v>262</v>
      </c>
      <c r="H161" s="92" t="s">
        <v>283</v>
      </c>
      <c r="I161" s="85" t="s">
        <v>566</v>
      </c>
    </row>
    <row r="162" ht="32.25" customHeight="1" spans="1:9">
      <c r="A162" s="61"/>
      <c r="B162" s="144" t="s">
        <v>567</v>
      </c>
      <c r="C162" s="85">
        <v>143580086</v>
      </c>
      <c r="D162" s="85"/>
      <c r="E162" s="85">
        <v>2560</v>
      </c>
      <c r="F162" s="266">
        <v>25</v>
      </c>
      <c r="G162" s="87" t="s">
        <v>469</v>
      </c>
      <c r="H162" s="92" t="s">
        <v>283</v>
      </c>
      <c r="I162" s="85" t="s">
        <v>568</v>
      </c>
    </row>
    <row r="163" ht="32.25" customHeight="1" spans="1:9">
      <c r="A163" s="61"/>
      <c r="B163" s="144" t="s">
        <v>569</v>
      </c>
      <c r="C163" s="85">
        <v>187810164</v>
      </c>
      <c r="D163" s="85" t="s">
        <v>570</v>
      </c>
      <c r="E163" s="85">
        <v>2500</v>
      </c>
      <c r="F163" s="266">
        <v>25</v>
      </c>
      <c r="G163" s="87" t="s">
        <v>261</v>
      </c>
      <c r="H163" s="92" t="s">
        <v>283</v>
      </c>
      <c r="I163" s="85" t="s">
        <v>571</v>
      </c>
    </row>
    <row r="164" ht="32.25" customHeight="1" spans="1:9">
      <c r="A164" s="61"/>
      <c r="B164" s="144" t="s">
        <v>572</v>
      </c>
      <c r="C164" s="85">
        <v>149423573</v>
      </c>
      <c r="D164" s="85" t="s">
        <v>573</v>
      </c>
      <c r="E164" s="85">
        <v>2750</v>
      </c>
      <c r="F164" s="266">
        <v>25</v>
      </c>
      <c r="G164" s="87" t="s">
        <v>262</v>
      </c>
      <c r="H164" s="92" t="s">
        <v>283</v>
      </c>
      <c r="I164" s="85" t="s">
        <v>574</v>
      </c>
    </row>
    <row r="165" ht="32.25" customHeight="1" spans="1:9">
      <c r="A165" s="61"/>
      <c r="B165" s="141" t="s">
        <v>575</v>
      </c>
      <c r="C165" s="82"/>
      <c r="D165" s="82"/>
      <c r="E165" s="85">
        <v>1000</v>
      </c>
      <c r="F165" s="266">
        <v>25</v>
      </c>
      <c r="G165" s="87" t="s">
        <v>81</v>
      </c>
      <c r="H165" s="92" t="s">
        <v>283</v>
      </c>
      <c r="I165" s="85" t="s">
        <v>576</v>
      </c>
    </row>
    <row r="166" ht="32.25" customHeight="1" spans="1:9">
      <c r="A166" s="61"/>
      <c r="B166" s="85" t="s">
        <v>577</v>
      </c>
      <c r="C166" s="85">
        <v>110837873</v>
      </c>
      <c r="D166" s="85" t="s">
        <v>578</v>
      </c>
      <c r="E166" s="85">
        <v>500</v>
      </c>
      <c r="F166" s="267">
        <v>20</v>
      </c>
      <c r="G166" s="87" t="s">
        <v>241</v>
      </c>
      <c r="H166" s="92" t="s">
        <v>283</v>
      </c>
      <c r="I166" s="85" t="s">
        <v>579</v>
      </c>
    </row>
    <row r="167" ht="32.25" customHeight="1" spans="1:9">
      <c r="A167" s="85"/>
      <c r="B167" s="103" t="s">
        <v>580</v>
      </c>
      <c r="C167" s="85"/>
      <c r="D167" s="85" t="s">
        <v>581</v>
      </c>
      <c r="E167" s="85">
        <v>2500</v>
      </c>
      <c r="F167" s="85">
        <v>20</v>
      </c>
      <c r="G167" s="87"/>
      <c r="H167" s="92" t="s">
        <v>283</v>
      </c>
      <c r="I167" s="85"/>
    </row>
    <row r="168" ht="32.25" customHeight="1" spans="1:9">
      <c r="A168" s="85"/>
      <c r="B168" s="85" t="s">
        <v>582</v>
      </c>
      <c r="C168" s="85">
        <v>133403996</v>
      </c>
      <c r="D168" s="85" t="s">
        <v>583</v>
      </c>
      <c r="E168" s="85">
        <v>2000</v>
      </c>
      <c r="F168" s="85">
        <v>20</v>
      </c>
      <c r="G168" s="87" t="s">
        <v>261</v>
      </c>
      <c r="H168" s="92" t="s">
        <v>283</v>
      </c>
      <c r="I168" s="85"/>
    </row>
    <row r="169" ht="32.25" customHeight="1" spans="1:9">
      <c r="A169" s="85"/>
      <c r="B169" s="85" t="s">
        <v>584</v>
      </c>
      <c r="C169" s="85">
        <v>887571564</v>
      </c>
      <c r="D169" s="85" t="s">
        <v>585</v>
      </c>
      <c r="E169" s="85">
        <v>7500</v>
      </c>
      <c r="F169" s="85"/>
      <c r="G169" s="87" t="s">
        <v>261</v>
      </c>
      <c r="H169" s="92" t="s">
        <v>283</v>
      </c>
      <c r="I169" s="85"/>
    </row>
    <row r="170" ht="32.25" customHeight="1" spans="1:9">
      <c r="A170" s="85"/>
      <c r="B170" s="85" t="s">
        <v>586</v>
      </c>
      <c r="C170" s="85">
        <v>136356661</v>
      </c>
      <c r="D170" s="85" t="s">
        <v>587</v>
      </c>
      <c r="E170" s="85">
        <v>8500</v>
      </c>
      <c r="F170" s="85"/>
      <c r="G170" s="87" t="s">
        <v>261</v>
      </c>
      <c r="H170" s="92" t="s">
        <v>283</v>
      </c>
      <c r="I170" s="85"/>
    </row>
    <row r="171" ht="32.25" customHeight="1" spans="1:9">
      <c r="A171" s="85"/>
      <c r="B171" s="85" t="s">
        <v>588</v>
      </c>
      <c r="C171" s="85">
        <v>373011090</v>
      </c>
      <c r="D171" s="85" t="s">
        <v>588</v>
      </c>
      <c r="E171" s="85">
        <v>4500</v>
      </c>
      <c r="F171" s="85"/>
      <c r="G171" s="87"/>
      <c r="H171" s="92" t="s">
        <v>283</v>
      </c>
      <c r="I171" s="85"/>
    </row>
    <row r="172" ht="32.25" customHeight="1" spans="1:9">
      <c r="A172" s="85"/>
      <c r="B172" s="85" t="s">
        <v>589</v>
      </c>
      <c r="C172" s="85">
        <v>412057845</v>
      </c>
      <c r="D172" s="85" t="s">
        <v>590</v>
      </c>
      <c r="E172" s="85">
        <v>5000</v>
      </c>
      <c r="F172" s="85"/>
      <c r="G172" s="87" t="s">
        <v>261</v>
      </c>
      <c r="H172" s="92" t="s">
        <v>283</v>
      </c>
      <c r="I172" s="85" t="s">
        <v>591</v>
      </c>
    </row>
    <row r="173" ht="32.25" customHeight="1" spans="1:9">
      <c r="A173" s="85"/>
      <c r="B173" s="85" t="s">
        <v>592</v>
      </c>
      <c r="C173" s="85">
        <v>147349418</v>
      </c>
      <c r="D173" s="85" t="s">
        <v>593</v>
      </c>
      <c r="E173" s="85">
        <v>6500</v>
      </c>
      <c r="F173" s="85"/>
      <c r="G173" s="87" t="s">
        <v>236</v>
      </c>
      <c r="H173" s="92" t="s">
        <v>283</v>
      </c>
      <c r="I173" s="85" t="s">
        <v>594</v>
      </c>
    </row>
    <row r="174" ht="32.25" customHeight="1" spans="1:9">
      <c r="A174" s="85"/>
      <c r="B174" s="85" t="s">
        <v>595</v>
      </c>
      <c r="C174" s="85">
        <v>218486030</v>
      </c>
      <c r="D174" s="85" t="s">
        <v>595</v>
      </c>
      <c r="E174" s="85">
        <v>5200</v>
      </c>
      <c r="F174" s="85"/>
      <c r="G174" s="87" t="s">
        <v>241</v>
      </c>
      <c r="H174" s="92" t="s">
        <v>283</v>
      </c>
      <c r="I174" s="85" t="s">
        <v>596</v>
      </c>
    </row>
    <row r="175" ht="32.25" customHeight="1" spans="1:9">
      <c r="A175" s="85"/>
      <c r="B175" s="85" t="s">
        <v>597</v>
      </c>
      <c r="C175" s="85">
        <v>410587365</v>
      </c>
      <c r="D175" s="85" t="s">
        <v>598</v>
      </c>
      <c r="E175" s="85">
        <v>3000</v>
      </c>
      <c r="F175" s="85"/>
      <c r="G175" s="87" t="s">
        <v>241</v>
      </c>
      <c r="H175" s="92" t="s">
        <v>283</v>
      </c>
      <c r="I175" s="85"/>
    </row>
    <row r="176" ht="32.25" customHeight="1" spans="1:9">
      <c r="A176" s="85"/>
      <c r="B176" s="85"/>
      <c r="C176" s="85"/>
      <c r="D176" s="85"/>
      <c r="E176" s="85"/>
      <c r="F176" s="85"/>
      <c r="G176" s="87"/>
      <c r="H176" s="92" t="s">
        <v>283</v>
      </c>
      <c r="I176" s="85"/>
    </row>
    <row r="177" ht="32.25" customHeight="1" spans="1:9">
      <c r="A177" s="85"/>
      <c r="B177" s="85"/>
      <c r="C177" s="85"/>
      <c r="D177" s="85"/>
      <c r="E177" s="85"/>
      <c r="F177" s="85"/>
      <c r="G177" s="87"/>
      <c r="H177" s="92" t="s">
        <v>283</v>
      </c>
      <c r="I177" s="85"/>
    </row>
    <row r="178" ht="32.25" customHeight="1" spans="1:9">
      <c r="A178" s="85"/>
      <c r="B178" s="85"/>
      <c r="C178" s="85"/>
      <c r="D178" s="85"/>
      <c r="E178" s="85"/>
      <c r="F178" s="85"/>
      <c r="G178" s="87"/>
      <c r="H178" s="92" t="s">
        <v>283</v>
      </c>
      <c r="I178" s="85"/>
    </row>
    <row r="179" ht="32.25" customHeight="1" spans="1:9">
      <c r="A179" s="85"/>
      <c r="B179" s="85"/>
      <c r="C179" s="85"/>
      <c r="D179" s="85"/>
      <c r="E179" s="85"/>
      <c r="F179" s="85"/>
      <c r="G179" s="87"/>
      <c r="H179" s="92" t="s">
        <v>283</v>
      </c>
      <c r="I179" s="85"/>
    </row>
    <row r="180" ht="32.25" customHeight="1" spans="1:9">
      <c r="A180" s="85"/>
      <c r="B180" s="85"/>
      <c r="C180" s="85"/>
      <c r="D180" s="85"/>
      <c r="E180" s="85"/>
      <c r="F180" s="85"/>
      <c r="G180" s="87"/>
      <c r="H180" s="92" t="s">
        <v>283</v>
      </c>
      <c r="I180" s="85"/>
    </row>
    <row r="181" ht="32.25" customHeight="1" spans="1:9">
      <c r="A181" s="85"/>
      <c r="B181" s="85"/>
      <c r="C181" s="85"/>
      <c r="D181" s="85"/>
      <c r="E181" s="85"/>
      <c r="F181" s="85"/>
      <c r="G181" s="87"/>
      <c r="H181" s="92" t="s">
        <v>283</v>
      </c>
      <c r="I181" s="85"/>
    </row>
    <row r="182" ht="32.25" customHeight="1" spans="1:9">
      <c r="A182" s="85"/>
      <c r="B182" s="85"/>
      <c r="C182" s="85"/>
      <c r="D182" s="85"/>
      <c r="E182" s="85"/>
      <c r="F182" s="85"/>
      <c r="G182" s="87"/>
      <c r="H182" s="92" t="s">
        <v>283</v>
      </c>
      <c r="I182" s="85"/>
    </row>
    <row r="183" ht="32.25" customHeight="1" spans="1:9">
      <c r="A183" s="85"/>
      <c r="B183" s="85"/>
      <c r="C183" s="85"/>
      <c r="D183" s="85"/>
      <c r="E183" s="85"/>
      <c r="F183" s="85"/>
      <c r="G183" s="87"/>
      <c r="H183" s="92" t="s">
        <v>283</v>
      </c>
      <c r="I183" s="85"/>
    </row>
    <row r="184" ht="32.25" customHeight="1" spans="1:9">
      <c r="A184" s="85"/>
      <c r="B184" s="85"/>
      <c r="C184" s="85"/>
      <c r="D184" s="85"/>
      <c r="E184" s="85"/>
      <c r="F184" s="85"/>
      <c r="G184" s="87"/>
      <c r="H184" s="92" t="s">
        <v>283</v>
      </c>
      <c r="I184" s="85"/>
    </row>
    <row r="185" ht="32.25" customHeight="1" spans="1:9">
      <c r="A185" s="85"/>
      <c r="B185" s="85"/>
      <c r="C185" s="85"/>
      <c r="D185" s="85"/>
      <c r="E185" s="85"/>
      <c r="F185" s="85"/>
      <c r="G185" s="87"/>
      <c r="H185" s="92" t="s">
        <v>283</v>
      </c>
      <c r="I185" s="85"/>
    </row>
    <row r="186" ht="32.25" customHeight="1" spans="1:9">
      <c r="A186" s="85"/>
      <c r="B186" s="85"/>
      <c r="C186" s="85"/>
      <c r="D186" s="85"/>
      <c r="E186" s="85"/>
      <c r="F186" s="85"/>
      <c r="G186" s="87"/>
      <c r="H186" s="92" t="s">
        <v>283</v>
      </c>
      <c r="I186" s="85"/>
    </row>
    <row r="187" ht="32.25" customHeight="1" spans="1:9">
      <c r="A187" s="85"/>
      <c r="B187" s="85"/>
      <c r="C187" s="85"/>
      <c r="D187" s="85"/>
      <c r="E187" s="85"/>
      <c r="F187" s="85"/>
      <c r="G187" s="87"/>
      <c r="H187" s="92" t="s">
        <v>283</v>
      </c>
      <c r="I187" s="85"/>
    </row>
    <row r="188" ht="32.25" customHeight="1" spans="1:9">
      <c r="A188" s="85"/>
      <c r="B188" s="85"/>
      <c r="C188" s="85"/>
      <c r="D188" s="85"/>
      <c r="E188" s="85"/>
      <c r="F188" s="85"/>
      <c r="G188" s="87"/>
      <c r="H188" s="92" t="s">
        <v>283</v>
      </c>
      <c r="I188" s="85"/>
    </row>
    <row r="189" ht="32.25" customHeight="1" spans="1:9">
      <c r="A189" s="85"/>
      <c r="B189" s="85"/>
      <c r="C189" s="85"/>
      <c r="D189" s="85"/>
      <c r="E189" s="85"/>
      <c r="F189" s="85"/>
      <c r="G189" s="87"/>
      <c r="H189" s="92" t="s">
        <v>283</v>
      </c>
      <c r="I189" s="85"/>
    </row>
    <row r="190" ht="15.2" spans="2:9">
      <c r="B190" s="85"/>
      <c r="C190" s="85"/>
      <c r="D190" s="85"/>
      <c r="E190" s="85"/>
      <c r="F190" s="85"/>
      <c r="G190" s="87"/>
      <c r="H190" s="92" t="s">
        <v>283</v>
      </c>
      <c r="I190" s="85"/>
    </row>
    <row r="191" ht="15.2" spans="2:9">
      <c r="B191" s="85"/>
      <c r="C191" s="85"/>
      <c r="D191" s="85"/>
      <c r="E191" s="85"/>
      <c r="F191" s="85"/>
      <c r="G191" s="87"/>
      <c r="H191" s="92" t="s">
        <v>283</v>
      </c>
      <c r="I191" s="85"/>
    </row>
    <row r="192" ht="15.2" spans="2:9">
      <c r="B192" s="85"/>
      <c r="C192" s="85"/>
      <c r="D192" s="85"/>
      <c r="E192" s="85"/>
      <c r="F192" s="85"/>
      <c r="G192" s="87"/>
      <c r="H192" s="92" t="s">
        <v>283</v>
      </c>
      <c r="I192" s="85"/>
    </row>
    <row r="193" ht="15.2" spans="2:9">
      <c r="B193" s="85"/>
      <c r="C193" s="85"/>
      <c r="D193" s="85"/>
      <c r="E193" s="85"/>
      <c r="F193" s="85"/>
      <c r="G193" s="87"/>
      <c r="H193" s="92" t="s">
        <v>283</v>
      </c>
      <c r="I193" s="85"/>
    </row>
    <row r="194" ht="15.2" spans="2:9">
      <c r="B194" s="85"/>
      <c r="C194" s="85"/>
      <c r="D194" s="85"/>
      <c r="E194" s="85"/>
      <c r="F194" s="85"/>
      <c r="G194" s="87"/>
      <c r="H194" s="92" t="s">
        <v>283</v>
      </c>
      <c r="I194" s="85"/>
    </row>
  </sheetData>
  <conditionalFormatting sqref="F1:F194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2:F11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09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F2:F10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dataValidations count="1">
    <dataValidation type="list" allowBlank="1" showInputMessage="1" showErrorMessage="1" sqref="G3:G1048576">
      <formula1>"位置,一,二,三,四,五,"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微雨杯赛季记录">
    <tabColor rgb="FFFFE270"/>
  </sheetPr>
  <dimension ref="A1:C204"/>
  <sheetViews>
    <sheetView workbookViewId="0">
      <selection activeCell="A1" sqref="A1"/>
    </sheetView>
  </sheetViews>
  <sheetFormatPr defaultColWidth="14" defaultRowHeight="18" customHeight="1" outlineLevelCol="2"/>
  <cols>
    <col min="1" max="1" width="13.671875" style="208"/>
    <col min="2" max="2" width="20.3671875" style="208" customWidth="1"/>
    <col min="3" max="3" width="31.0234375" style="208" customWidth="1"/>
    <col min="4" max="25" width="13.671875" style="208"/>
  </cols>
  <sheetData>
    <row r="1" ht="31.5" customHeight="1" spans="1:3">
      <c r="A1" s="209" t="s">
        <v>599</v>
      </c>
      <c r="B1" s="209" t="s">
        <v>600</v>
      </c>
      <c r="C1" s="209" t="s">
        <v>601</v>
      </c>
    </row>
    <row r="2" ht="31.5" customHeight="1" spans="1:3">
      <c r="A2" s="208" t="s">
        <v>602</v>
      </c>
      <c r="B2" s="208" t="s">
        <v>603</v>
      </c>
      <c r="C2" s="208" t="s">
        <v>360</v>
      </c>
    </row>
    <row r="3" ht="31.5" customHeight="1" spans="3:3">
      <c r="C3" s="208" t="s">
        <v>245</v>
      </c>
    </row>
    <row r="4" ht="31.5" customHeight="1" spans="3:3">
      <c r="C4" s="208">
        <v>21</v>
      </c>
    </row>
    <row r="5" ht="31.5" customHeight="1" spans="3:3">
      <c r="C5" s="208" t="s">
        <v>253</v>
      </c>
    </row>
    <row r="6" ht="31.5" customHeight="1" spans="3:3">
      <c r="C6" s="208" t="s">
        <v>255</v>
      </c>
    </row>
    <row r="7" ht="31.5" customHeight="1" spans="1:2">
      <c r="A7" s="208" t="s">
        <v>604</v>
      </c>
      <c r="B7" s="208" t="s">
        <v>605</v>
      </c>
    </row>
    <row r="8" ht="31.5" customHeight="1"/>
    <row r="9" ht="31.5" customHeight="1"/>
    <row r="10" ht="31.5" customHeight="1"/>
    <row r="11" ht="31.5" customHeight="1"/>
    <row r="12" ht="31.5" customHeight="1"/>
    <row r="13" ht="31.5" customHeight="1"/>
    <row r="14" ht="31.5" customHeight="1"/>
    <row r="15" ht="31.5" customHeight="1"/>
    <row r="16" ht="31.5" customHeight="1"/>
    <row r="17" ht="31.5" customHeight="1"/>
    <row r="18" ht="31.5" customHeight="1"/>
    <row r="19" ht="31.5" customHeight="1"/>
    <row r="20" ht="31.5" customHeight="1"/>
    <row r="21" ht="31.5" customHeight="1"/>
    <row r="22" ht="31.5" customHeight="1"/>
    <row r="23" ht="31.5" customHeight="1"/>
    <row r="24" ht="31.5" customHeight="1"/>
    <row r="25" ht="31.5" customHeight="1"/>
    <row r="26" ht="31.5" customHeight="1"/>
    <row r="27" ht="31.5" customHeight="1"/>
    <row r="28" ht="31.5" customHeight="1"/>
    <row r="29" ht="31.5" customHeight="1"/>
    <row r="30" ht="31.5" customHeight="1"/>
    <row r="31" ht="31.5" customHeight="1"/>
    <row r="32" ht="31.5" customHeight="1"/>
    <row r="33" ht="31.5" customHeight="1"/>
    <row r="34" ht="31.5" customHeight="1"/>
    <row r="35" ht="31.5" customHeight="1"/>
    <row r="36" ht="31.5" customHeight="1"/>
    <row r="37" ht="31.5" customHeight="1"/>
    <row r="38" ht="31.5" customHeight="1"/>
    <row r="39" ht="31.5" customHeight="1"/>
    <row r="40" ht="31.5" customHeight="1"/>
    <row r="41" ht="31.5" customHeight="1"/>
    <row r="42" ht="31.5" customHeight="1"/>
    <row r="43" ht="31.5" customHeight="1"/>
    <row r="44" ht="31.5" customHeight="1"/>
    <row r="45" ht="31.5" customHeight="1"/>
    <row r="46" ht="31.5" customHeight="1"/>
    <row r="47" ht="31.5" customHeight="1"/>
    <row r="48" ht="31.5" customHeight="1"/>
    <row r="49" ht="31.5" customHeight="1"/>
    <row r="50" ht="31.5" customHeight="1"/>
    <row r="51" ht="31.5" customHeight="1"/>
    <row r="52" ht="31.5" customHeight="1"/>
    <row r="53" ht="31.5" customHeight="1"/>
    <row r="54" ht="31.5" customHeight="1"/>
    <row r="55" ht="31.5" customHeight="1"/>
    <row r="56" ht="31.5" customHeight="1"/>
    <row r="57" ht="31.5" customHeight="1"/>
    <row r="58" ht="31.5" customHeight="1"/>
    <row r="59" ht="31.5" customHeight="1"/>
    <row r="60" ht="31.5" customHeight="1"/>
    <row r="61" ht="31.5" customHeight="1"/>
    <row r="62" ht="31.5" customHeight="1"/>
    <row r="63" ht="31.5" customHeight="1"/>
    <row r="64" ht="31.5" customHeight="1"/>
    <row r="65" ht="31.5" customHeight="1"/>
    <row r="66" ht="31.5" customHeight="1"/>
    <row r="67" ht="31.5" customHeight="1"/>
    <row r="68" ht="31.5" customHeight="1"/>
    <row r="69" ht="31.5" customHeight="1"/>
    <row r="70" ht="31.5" customHeight="1"/>
    <row r="71" ht="31.5" customHeight="1"/>
    <row r="72" ht="31.5" customHeight="1"/>
    <row r="73" ht="31.5" customHeight="1"/>
    <row r="74" ht="31.5" customHeight="1"/>
    <row r="75" ht="31.5" customHeight="1"/>
    <row r="76" ht="31.5" customHeight="1"/>
    <row r="77" ht="31.5" customHeight="1"/>
    <row r="78" ht="31.5" customHeight="1"/>
    <row r="79" ht="31.5" customHeight="1"/>
    <row r="80" ht="31.5" customHeight="1"/>
    <row r="81" ht="31.5" customHeight="1"/>
    <row r="82" ht="31.5" customHeight="1"/>
    <row r="83" ht="31.5" customHeight="1"/>
    <row r="84" ht="31.5" customHeight="1"/>
    <row r="85" ht="31.5" customHeight="1"/>
    <row r="86" ht="31.5" customHeight="1"/>
    <row r="87" ht="31.5" customHeight="1"/>
    <row r="88" ht="31.5" customHeight="1"/>
    <row r="89" ht="31.5" customHeight="1"/>
    <row r="90" ht="31.5" customHeight="1"/>
    <row r="91" ht="31.5" customHeight="1"/>
    <row r="92" ht="31.5" customHeight="1"/>
    <row r="93" ht="31.5" customHeight="1"/>
    <row r="94" ht="31.5" customHeight="1"/>
    <row r="95" ht="31.5" customHeight="1"/>
    <row r="96" ht="31.5" customHeight="1"/>
    <row r="97" ht="31.5" customHeight="1"/>
    <row r="98" ht="31.5" customHeight="1"/>
    <row r="99" ht="31.5" customHeight="1"/>
    <row r="100" ht="31.5" customHeight="1"/>
    <row r="101" ht="31.5" customHeight="1"/>
    <row r="102" ht="31.5" customHeight="1"/>
    <row r="103" ht="31.5" customHeight="1"/>
    <row r="104" ht="31.5" customHeight="1"/>
    <row r="105" ht="31.5" customHeight="1"/>
    <row r="106" ht="31.5" customHeight="1"/>
    <row r="107" ht="31.5" customHeight="1"/>
    <row r="108" ht="31.5" customHeight="1"/>
    <row r="109" ht="31.5" customHeight="1"/>
    <row r="110" ht="31.5" customHeight="1"/>
    <row r="111" ht="31.5" customHeight="1"/>
    <row r="112" ht="31.5" customHeight="1"/>
    <row r="113" ht="31.5" customHeight="1"/>
    <row r="114" ht="31.5" customHeight="1"/>
    <row r="115" ht="31.5" customHeight="1"/>
    <row r="116" ht="31.5" customHeight="1"/>
    <row r="117" ht="31.5" customHeight="1"/>
    <row r="118" ht="31.5" customHeight="1"/>
    <row r="119" ht="31.5" customHeight="1"/>
    <row r="120" ht="31.5" customHeight="1"/>
    <row r="121" ht="31.5" customHeight="1"/>
    <row r="122" ht="31.5" customHeight="1"/>
    <row r="123" ht="31.5" customHeight="1"/>
    <row r="124" ht="31.5" customHeight="1"/>
    <row r="125" ht="31.5" customHeight="1"/>
    <row r="126" ht="31.5" customHeight="1"/>
    <row r="127" ht="31.5" customHeight="1"/>
    <row r="128" ht="31.5" customHeight="1"/>
    <row r="129" ht="31.5" customHeight="1"/>
    <row r="130" ht="31.5" customHeight="1"/>
    <row r="131" ht="31.5" customHeight="1"/>
    <row r="132" ht="31.5" customHeight="1"/>
    <row r="133" ht="31.5" customHeight="1"/>
    <row r="134" ht="31.5" customHeight="1"/>
    <row r="135" ht="31.5" customHeight="1"/>
    <row r="136" ht="31.5" customHeight="1"/>
    <row r="137" ht="31.5" customHeight="1"/>
    <row r="138" ht="31.5" customHeight="1"/>
    <row r="139" ht="31.5" customHeight="1"/>
    <row r="140" ht="31.5" customHeight="1"/>
    <row r="141" ht="31.5" customHeight="1"/>
    <row r="142" ht="31.5" customHeight="1"/>
    <row r="143" ht="31.5" customHeight="1"/>
    <row r="144" ht="31.5" customHeight="1"/>
    <row r="145" ht="31.5" customHeight="1"/>
    <row r="146" ht="31.5" customHeight="1"/>
    <row r="147" ht="31.5" customHeight="1"/>
    <row r="148" ht="31.5" customHeight="1"/>
    <row r="149" ht="31.5" customHeight="1"/>
    <row r="150" ht="31.5" customHeight="1"/>
    <row r="151" ht="31.5" customHeight="1"/>
    <row r="152" ht="31.5" customHeight="1"/>
    <row r="153" ht="31.5" customHeight="1"/>
    <row r="154" ht="31.5" customHeight="1"/>
    <row r="155" ht="31.5" customHeight="1"/>
    <row r="156" ht="31.5" customHeight="1"/>
    <row r="157" ht="31.5" customHeight="1"/>
    <row r="158" ht="31.5" customHeight="1"/>
    <row r="159" ht="31.5" customHeight="1"/>
    <row r="160" ht="31.5" customHeight="1"/>
    <row r="161" ht="31.5" customHeight="1"/>
    <row r="162" ht="31.5" customHeight="1"/>
    <row r="163" ht="31.5" customHeight="1"/>
    <row r="164" ht="31.5" customHeight="1"/>
    <row r="165" ht="31.5" customHeight="1"/>
    <row r="166" ht="31.5" customHeight="1"/>
    <row r="167" ht="31.5" customHeight="1"/>
    <row r="168" ht="31.5" customHeight="1"/>
    <row r="169" ht="31.5" customHeight="1"/>
    <row r="170" ht="31.5" customHeight="1"/>
    <row r="171" ht="31.5" customHeight="1"/>
    <row r="172" ht="31.5" customHeight="1"/>
    <row r="173" ht="31.5" customHeight="1"/>
    <row r="174" ht="31.5" customHeight="1"/>
    <row r="175" ht="31.5" customHeight="1"/>
    <row r="176" ht="31.5" customHeight="1"/>
    <row r="177" ht="31.5" customHeight="1"/>
    <row r="178" ht="31.5" customHeight="1"/>
    <row r="179" ht="31.5" customHeight="1"/>
    <row r="180" ht="31.5" customHeight="1"/>
    <row r="181" ht="31.5" customHeight="1"/>
    <row r="182" ht="31.5" customHeight="1"/>
    <row r="183" ht="31.5" customHeight="1"/>
    <row r="184" ht="31.5" customHeight="1"/>
    <row r="185" ht="31.5" customHeight="1"/>
    <row r="186" ht="31.5" customHeight="1"/>
    <row r="187" ht="31.5" customHeight="1"/>
    <row r="188" ht="31.5" customHeight="1"/>
    <row r="189" ht="31.5" customHeight="1"/>
    <row r="190" ht="31.5" customHeight="1"/>
    <row r="191" ht="31.5" customHeight="1"/>
    <row r="192" ht="31.5" customHeight="1"/>
    <row r="193" ht="31.5" customHeight="1"/>
    <row r="194" ht="31.5" customHeight="1"/>
    <row r="195" ht="31.5" customHeight="1"/>
    <row r="196" ht="31.5" customHeight="1"/>
    <row r="197" ht="31.5" customHeight="1"/>
    <row r="198" ht="31.5" customHeight="1"/>
    <row r="199" ht="31.5" customHeight="1"/>
    <row r="200" ht="31.5" customHeight="1"/>
    <row r="201" ht="31.5" customHeight="1"/>
    <row r="202" ht="31.5" customHeight="1"/>
    <row r="203" ht="31.5" customHeight="1"/>
    <row r="204" ht="31.5" customHeight="1"/>
  </sheetData>
  <mergeCells count="2">
    <mergeCell ref="A2:A6"/>
    <mergeCell ref="B2:B6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2名单(草稿)">
    <tabColor rgb="FF0070C0"/>
  </sheetPr>
  <dimension ref="A1:Z72"/>
  <sheetViews>
    <sheetView workbookViewId="0">
      <selection activeCell="A1" sqref="A1"/>
    </sheetView>
  </sheetViews>
  <sheetFormatPr defaultColWidth="14" defaultRowHeight="18" customHeight="1"/>
  <cols>
    <col min="1" max="1" width="19.0078125" style="197" customWidth="1"/>
    <col min="2" max="2" width="25.078125" style="197" customWidth="1"/>
    <col min="3" max="3" width="27.6484375" style="197" customWidth="1"/>
    <col min="4" max="4" width="21.046875" style="197" customWidth="1"/>
    <col min="5" max="5" width="26.4375" style="197" customWidth="1"/>
    <col min="6" max="6" width="31.0234375" style="197" customWidth="1"/>
    <col min="7" max="26" width="13.671875" style="197"/>
  </cols>
  <sheetData>
    <row r="1" customHeight="1" spans="1:5">
      <c r="A1" s="198" t="s">
        <v>606</v>
      </c>
      <c r="B1" s="198" t="s">
        <v>68</v>
      </c>
      <c r="C1" s="198"/>
      <c r="D1" s="198" t="s">
        <v>225</v>
      </c>
      <c r="E1" s="198" t="s">
        <v>607</v>
      </c>
    </row>
    <row r="2" customHeight="1" spans="1:7">
      <c r="A2" s="199">
        <v>46097.6333333333</v>
      </c>
      <c r="B2" s="200" t="s">
        <v>80</v>
      </c>
      <c r="C2" s="200" t="s">
        <v>80</v>
      </c>
      <c r="D2" s="200">
        <v>106964785</v>
      </c>
      <c r="E2" s="200" t="s">
        <v>608</v>
      </c>
      <c r="F2" s="206" t="s">
        <v>609</v>
      </c>
      <c r="G2"/>
    </row>
    <row r="3" customHeight="1" spans="1:7">
      <c r="A3" s="199">
        <v>46097.6375</v>
      </c>
      <c r="B3" s="200" t="s">
        <v>123</v>
      </c>
      <c r="C3" s="200" t="s">
        <v>123</v>
      </c>
      <c r="D3" s="200">
        <v>370449300</v>
      </c>
      <c r="E3" s="200" t="s">
        <v>608</v>
      </c>
      <c r="F3"/>
      <c r="G3"/>
    </row>
    <row r="4" customHeight="1" spans="1:7">
      <c r="A4" s="199">
        <v>46097.6375</v>
      </c>
      <c r="B4" s="200">
        <v>21</v>
      </c>
      <c r="C4" s="200">
        <v>21</v>
      </c>
      <c r="D4" s="200">
        <v>277443592</v>
      </c>
      <c r="E4" s="200" t="s">
        <v>608</v>
      </c>
      <c r="F4"/>
      <c r="G4"/>
    </row>
    <row r="5" customHeight="1" spans="1:7">
      <c r="A5" s="199">
        <v>46097.6375</v>
      </c>
      <c r="B5" s="200" t="s">
        <v>121</v>
      </c>
      <c r="C5" s="200" t="s">
        <v>121</v>
      </c>
      <c r="D5" s="200">
        <v>334481697</v>
      </c>
      <c r="E5" s="200" t="s">
        <v>608</v>
      </c>
      <c r="F5"/>
      <c r="G5"/>
    </row>
    <row r="6" customHeight="1" spans="1:7">
      <c r="A6" s="199">
        <v>46097.6375</v>
      </c>
      <c r="B6" s="200" t="s">
        <v>83</v>
      </c>
      <c r="C6" s="200" t="s">
        <v>83</v>
      </c>
      <c r="D6" s="200">
        <v>176191301</v>
      </c>
      <c r="E6" s="200" t="s">
        <v>610</v>
      </c>
      <c r="F6"/>
      <c r="G6"/>
    </row>
    <row r="7" customHeight="1" spans="1:5">
      <c r="A7" s="199">
        <v>46097.6381944444</v>
      </c>
      <c r="B7" s="200" t="s">
        <v>130</v>
      </c>
      <c r="C7" s="200" t="s">
        <v>130</v>
      </c>
      <c r="D7" s="200">
        <v>341670770</v>
      </c>
      <c r="E7" s="200" t="s">
        <v>610</v>
      </c>
    </row>
    <row r="8" customHeight="1" spans="1:5">
      <c r="A8" s="199">
        <v>46097.6381944444</v>
      </c>
      <c r="B8" s="200" t="s">
        <v>124</v>
      </c>
      <c r="C8" s="200" t="s">
        <v>124</v>
      </c>
      <c r="D8" s="200">
        <v>320479234</v>
      </c>
      <c r="E8" s="200" t="s">
        <v>608</v>
      </c>
    </row>
    <row r="9" customHeight="1" spans="1:5">
      <c r="A9" s="199">
        <v>46097.6381944444</v>
      </c>
      <c r="B9" s="200" t="s">
        <v>250</v>
      </c>
      <c r="C9" s="200" t="s">
        <v>250</v>
      </c>
      <c r="D9" s="200">
        <v>355328125</v>
      </c>
      <c r="E9" s="200" t="s">
        <v>610</v>
      </c>
    </row>
    <row r="10" customHeight="1" spans="1:5">
      <c r="A10" s="199">
        <v>46097.6388888889</v>
      </c>
      <c r="B10" s="200" t="s">
        <v>142</v>
      </c>
      <c r="C10" s="200" t="s">
        <v>142</v>
      </c>
      <c r="D10" s="200">
        <v>208333479</v>
      </c>
      <c r="E10" s="200" t="s">
        <v>608</v>
      </c>
    </row>
    <row r="11" customHeight="1" spans="1:5">
      <c r="A11" s="199">
        <v>46097.6388888889</v>
      </c>
      <c r="B11" s="200" t="s">
        <v>104</v>
      </c>
      <c r="C11" s="200" t="s">
        <v>104</v>
      </c>
      <c r="D11" s="200">
        <v>383560624</v>
      </c>
      <c r="E11" s="200" t="s">
        <v>608</v>
      </c>
    </row>
    <row r="12" customHeight="1" spans="1:5">
      <c r="A12" s="199">
        <v>46097.6388888889</v>
      </c>
      <c r="B12" s="200" t="s">
        <v>120</v>
      </c>
      <c r="C12" s="200" t="s">
        <v>120</v>
      </c>
      <c r="D12" s="200">
        <v>223646770</v>
      </c>
      <c r="E12" s="200" t="s">
        <v>608</v>
      </c>
    </row>
    <row r="13" customHeight="1" spans="1:5">
      <c r="A13" s="199">
        <v>46097.6388888889</v>
      </c>
      <c r="B13" s="200" t="s">
        <v>255</v>
      </c>
      <c r="C13" s="200" t="s">
        <v>255</v>
      </c>
      <c r="D13" s="200">
        <v>255882400</v>
      </c>
      <c r="E13" s="200" t="s">
        <v>608</v>
      </c>
    </row>
    <row r="14" customHeight="1" spans="1:5">
      <c r="A14" s="199">
        <v>46097.6402777778</v>
      </c>
      <c r="B14" s="200" t="s">
        <v>247</v>
      </c>
      <c r="C14" s="200" t="s">
        <v>247</v>
      </c>
      <c r="D14" s="200">
        <v>186753076</v>
      </c>
      <c r="E14" s="200" t="s">
        <v>610</v>
      </c>
    </row>
    <row r="15" customHeight="1" spans="1:5">
      <c r="A15" s="199">
        <v>46097.6416666667</v>
      </c>
      <c r="B15" s="200" t="s">
        <v>157</v>
      </c>
      <c r="C15" s="200" t="s">
        <v>157</v>
      </c>
      <c r="D15" s="200">
        <v>168661508</v>
      </c>
      <c r="E15" s="200" t="s">
        <v>608</v>
      </c>
    </row>
    <row r="16" customHeight="1" spans="1:5">
      <c r="A16" s="199">
        <v>46097.6416666667</v>
      </c>
      <c r="B16" s="200" t="s">
        <v>132</v>
      </c>
      <c r="C16" s="200" t="s">
        <v>132</v>
      </c>
      <c r="D16" s="200">
        <v>104465635</v>
      </c>
      <c r="E16" s="200" t="s">
        <v>608</v>
      </c>
    </row>
    <row r="17" customHeight="1" spans="1:5">
      <c r="A17" s="199">
        <v>46097.6423611111</v>
      </c>
      <c r="B17" s="200" t="s">
        <v>154</v>
      </c>
      <c r="C17" s="200" t="s">
        <v>154</v>
      </c>
      <c r="D17" s="200">
        <v>117252110</v>
      </c>
      <c r="E17" s="200" t="s">
        <v>608</v>
      </c>
    </row>
    <row r="18" customHeight="1" spans="1:5">
      <c r="A18" s="199">
        <v>46097.6451388889</v>
      </c>
      <c r="B18" s="200" t="s">
        <v>143</v>
      </c>
      <c r="C18" s="200" t="s">
        <v>143</v>
      </c>
      <c r="D18" s="200">
        <v>283980539</v>
      </c>
      <c r="E18" s="200" t="s">
        <v>608</v>
      </c>
    </row>
    <row r="19" customHeight="1" spans="1:5">
      <c r="A19" s="201">
        <v>46097.6451388889</v>
      </c>
      <c r="B19" s="200" t="s">
        <v>174</v>
      </c>
      <c r="C19" s="200" t="s">
        <v>174</v>
      </c>
      <c r="D19" s="200">
        <v>245304772</v>
      </c>
      <c r="E19" s="200" t="s">
        <v>608</v>
      </c>
    </row>
    <row r="20" customHeight="1" spans="1:5">
      <c r="A20" s="199">
        <v>46097.6465277778</v>
      </c>
      <c r="B20" s="200" t="s">
        <v>117</v>
      </c>
      <c r="C20" s="200" t="s">
        <v>117</v>
      </c>
      <c r="D20" s="200">
        <v>140594695</v>
      </c>
      <c r="E20" s="200" t="s">
        <v>608</v>
      </c>
    </row>
    <row r="21" customHeight="1" spans="1:5">
      <c r="A21" s="199">
        <v>46097.6465277778</v>
      </c>
      <c r="B21" s="200" t="s">
        <v>151</v>
      </c>
      <c r="C21" s="200" t="s">
        <v>151</v>
      </c>
      <c r="D21" s="200">
        <v>267719332</v>
      </c>
      <c r="E21" s="200" t="s">
        <v>610</v>
      </c>
    </row>
    <row r="22" customHeight="1" spans="1:5">
      <c r="A22" s="199">
        <v>46097.6493055556</v>
      </c>
      <c r="B22" s="200" t="s">
        <v>188</v>
      </c>
      <c r="C22" s="200" t="s">
        <v>188</v>
      </c>
      <c r="D22" s="200" t="s">
        <v>548</v>
      </c>
      <c r="E22" s="200" t="s">
        <v>608</v>
      </c>
    </row>
    <row r="23" customHeight="1" spans="1:5">
      <c r="A23" s="199">
        <v>46097.65</v>
      </c>
      <c r="B23" s="200" t="s">
        <v>108</v>
      </c>
      <c r="C23" s="200" t="s">
        <v>108</v>
      </c>
      <c r="D23" s="200" t="s">
        <v>280</v>
      </c>
      <c r="E23" s="200" t="s">
        <v>608</v>
      </c>
    </row>
    <row r="24" customHeight="1" spans="1:5">
      <c r="A24" s="199">
        <v>46097.6520833333</v>
      </c>
      <c r="B24" s="200" t="s">
        <v>107</v>
      </c>
      <c r="C24" s="200" t="s">
        <v>107</v>
      </c>
      <c r="D24" s="200">
        <v>187933845</v>
      </c>
      <c r="E24" s="200" t="s">
        <v>608</v>
      </c>
    </row>
    <row r="25" customHeight="1" spans="1:5">
      <c r="A25" s="199">
        <v>46097.6534722222</v>
      </c>
      <c r="B25" s="200" t="s">
        <v>86</v>
      </c>
      <c r="C25" s="200" t="s">
        <v>86</v>
      </c>
      <c r="D25" s="200">
        <v>137306952</v>
      </c>
      <c r="E25" s="200" t="s">
        <v>608</v>
      </c>
    </row>
    <row r="26" customHeight="1" spans="1:5">
      <c r="A26" s="199">
        <v>46097.6534722222</v>
      </c>
      <c r="B26" s="200" t="s">
        <v>95</v>
      </c>
      <c r="C26" s="200" t="s">
        <v>95</v>
      </c>
      <c r="D26" s="200" t="s">
        <v>464</v>
      </c>
      <c r="E26" s="200" t="s">
        <v>608</v>
      </c>
    </row>
    <row r="27" customHeight="1" spans="1:5">
      <c r="A27" s="199">
        <v>46097.6548611111</v>
      </c>
      <c r="B27" s="200" t="s">
        <v>130</v>
      </c>
      <c r="C27" s="200" t="s">
        <v>130</v>
      </c>
      <c r="D27" s="200">
        <v>341670770</v>
      </c>
      <c r="E27" s="200" t="s">
        <v>610</v>
      </c>
    </row>
    <row r="28" customHeight="1" spans="1:5">
      <c r="A28" s="199">
        <v>46097.6548611111</v>
      </c>
      <c r="B28" s="200" t="s">
        <v>162</v>
      </c>
      <c r="C28" s="200" t="s">
        <v>162</v>
      </c>
      <c r="D28" s="200">
        <v>140389337</v>
      </c>
      <c r="E28" s="200" t="s">
        <v>608</v>
      </c>
    </row>
    <row r="29" customHeight="1" spans="1:5">
      <c r="A29" s="199">
        <v>46097.6631944444</v>
      </c>
      <c r="B29" s="200" t="s">
        <v>252</v>
      </c>
      <c r="C29" s="200" t="s">
        <v>252</v>
      </c>
      <c r="D29" s="200">
        <v>122810642</v>
      </c>
      <c r="E29" s="200" t="s">
        <v>608</v>
      </c>
    </row>
    <row r="30" customHeight="1" spans="1:5">
      <c r="A30" s="199">
        <v>46097.6631944444</v>
      </c>
      <c r="B30" s="200" t="s">
        <v>160</v>
      </c>
      <c r="C30" s="200" t="s">
        <v>160</v>
      </c>
      <c r="D30" s="200">
        <v>148343069</v>
      </c>
      <c r="E30" s="200" t="s">
        <v>608</v>
      </c>
    </row>
    <row r="31" customHeight="1" spans="1:5">
      <c r="A31" s="199">
        <v>46097.6694444444</v>
      </c>
      <c r="B31" s="200" t="s">
        <v>100</v>
      </c>
      <c r="C31" s="200" t="s">
        <v>100</v>
      </c>
      <c r="D31" s="200">
        <v>189497913</v>
      </c>
      <c r="E31" s="200" t="s">
        <v>608</v>
      </c>
    </row>
    <row r="32" customHeight="1" spans="1:5">
      <c r="A32" s="199">
        <v>46097.6722222222</v>
      </c>
      <c r="B32" s="200" t="s">
        <v>114</v>
      </c>
      <c r="C32" s="200" t="s">
        <v>114</v>
      </c>
      <c r="D32" s="200">
        <v>235611786</v>
      </c>
      <c r="E32" s="200" t="s">
        <v>608</v>
      </c>
    </row>
    <row r="33" customHeight="1" spans="1:5">
      <c r="A33" s="199">
        <v>46097.6722222222</v>
      </c>
      <c r="B33" s="200" t="s">
        <v>138</v>
      </c>
      <c r="C33" s="200" t="s">
        <v>138</v>
      </c>
      <c r="D33" s="200">
        <v>178988576</v>
      </c>
      <c r="E33" s="200" t="s">
        <v>608</v>
      </c>
    </row>
    <row r="34" customHeight="1" spans="1:5">
      <c r="A34" s="199">
        <v>46097.6743055556</v>
      </c>
      <c r="B34" s="200" t="s">
        <v>253</v>
      </c>
      <c r="C34" s="200" t="s">
        <v>253</v>
      </c>
      <c r="D34" s="200">
        <v>108868178</v>
      </c>
      <c r="E34" s="200" t="s">
        <v>610</v>
      </c>
    </row>
    <row r="35" customHeight="1" spans="1:5">
      <c r="A35" s="199">
        <v>46097.675</v>
      </c>
      <c r="B35" s="200" t="s">
        <v>85</v>
      </c>
      <c r="C35" s="200" t="s">
        <v>85</v>
      </c>
      <c r="D35" s="200" t="s">
        <v>611</v>
      </c>
      <c r="E35" s="200" t="s">
        <v>608</v>
      </c>
    </row>
    <row r="36" s="196" customFormat="1" customHeight="1" spans="1:26">
      <c r="A36" s="202">
        <v>46097.675</v>
      </c>
      <c r="B36" s="203" t="s">
        <v>84</v>
      </c>
      <c r="C36" s="203" t="s">
        <v>84</v>
      </c>
      <c r="D36" s="203">
        <v>1004877057</v>
      </c>
      <c r="E36" s="203" t="s">
        <v>608</v>
      </c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</row>
    <row r="37" s="34" customFormat="1" customHeight="1" spans="1:26">
      <c r="A37" s="204">
        <v>46097.6756944445</v>
      </c>
      <c r="B37" s="205" t="s">
        <v>434</v>
      </c>
      <c r="C37" s="205" t="e">
        <v>#N/A</v>
      </c>
      <c r="D37" s="205">
        <v>157424993</v>
      </c>
      <c r="E37" s="205" t="s">
        <v>608</v>
      </c>
      <c r="F37" s="207"/>
      <c r="G37" s="207"/>
      <c r="H37" s="207"/>
      <c r="I37" s="207"/>
      <c r="J37" s="207"/>
      <c r="K37" s="207"/>
      <c r="L37" s="207"/>
      <c r="M37" s="207"/>
      <c r="N37" s="207"/>
      <c r="O37" s="207"/>
      <c r="P37" s="207"/>
      <c r="Q37" s="207"/>
      <c r="R37" s="207"/>
      <c r="S37" s="207"/>
      <c r="T37" s="207"/>
      <c r="U37" s="207"/>
      <c r="V37" s="207"/>
      <c r="W37" s="207"/>
      <c r="X37" s="207"/>
      <c r="Y37" s="207"/>
      <c r="Z37" s="207"/>
    </row>
    <row r="38" customHeight="1" spans="1:5">
      <c r="A38" s="199">
        <v>46097.6805555556</v>
      </c>
      <c r="B38" s="200" t="s">
        <v>145</v>
      </c>
      <c r="C38" s="200" t="s">
        <v>145</v>
      </c>
      <c r="D38" s="200">
        <v>117970934</v>
      </c>
      <c r="E38" s="200" t="s">
        <v>608</v>
      </c>
    </row>
    <row r="39" customHeight="1" spans="1:5">
      <c r="A39" s="199">
        <v>46097.6888888889</v>
      </c>
      <c r="B39" s="200" t="s">
        <v>150</v>
      </c>
      <c r="C39" s="200" t="s">
        <v>150</v>
      </c>
      <c r="D39" s="200">
        <v>885588023</v>
      </c>
      <c r="E39" s="200" t="s">
        <v>610</v>
      </c>
    </row>
    <row r="40" customHeight="1" spans="1:5">
      <c r="A40" s="199">
        <v>46097.6895833333</v>
      </c>
      <c r="B40" s="200" t="s">
        <v>179</v>
      </c>
      <c r="C40" s="200" t="s">
        <v>179</v>
      </c>
      <c r="D40" s="200">
        <v>400294058</v>
      </c>
      <c r="E40" s="200" t="s">
        <v>610</v>
      </c>
    </row>
    <row r="41" customHeight="1" spans="1:5">
      <c r="A41" s="199">
        <v>46097.6916666667</v>
      </c>
      <c r="B41" s="200" t="s">
        <v>245</v>
      </c>
      <c r="C41" s="200" t="s">
        <v>245</v>
      </c>
      <c r="D41" s="200">
        <v>457383175</v>
      </c>
      <c r="E41" s="200" t="s">
        <v>608</v>
      </c>
    </row>
    <row r="42" customHeight="1" spans="1:5">
      <c r="A42" s="199">
        <v>46097.6930555556</v>
      </c>
      <c r="B42" s="200" t="s">
        <v>101</v>
      </c>
      <c r="C42" s="200" t="s">
        <v>101</v>
      </c>
      <c r="D42" s="200">
        <v>164613165</v>
      </c>
      <c r="E42" s="200" t="s">
        <v>608</v>
      </c>
    </row>
    <row r="43" customHeight="1" spans="1:5">
      <c r="A43" s="199">
        <v>46097.6986111111</v>
      </c>
      <c r="B43" s="200" t="s">
        <v>144</v>
      </c>
      <c r="C43" s="200" t="s">
        <v>144</v>
      </c>
      <c r="D43" s="200">
        <v>124599786</v>
      </c>
      <c r="E43" s="200" t="s">
        <v>608</v>
      </c>
    </row>
    <row r="44" customHeight="1" spans="1:5">
      <c r="A44" s="199">
        <v>46097.7326388889</v>
      </c>
      <c r="B44" s="200" t="s">
        <v>94</v>
      </c>
      <c r="C44" s="200" t="s">
        <v>94</v>
      </c>
      <c r="D44" s="200">
        <v>136636318</v>
      </c>
      <c r="E44" s="200" t="s">
        <v>608</v>
      </c>
    </row>
    <row r="45" customHeight="1" spans="1:5">
      <c r="A45" s="199">
        <v>46097.7680555556</v>
      </c>
      <c r="B45" s="200" t="s">
        <v>96</v>
      </c>
      <c r="C45" s="200" t="s">
        <v>96</v>
      </c>
      <c r="D45" s="200">
        <v>138558413</v>
      </c>
      <c r="E45" s="200" t="s">
        <v>608</v>
      </c>
    </row>
    <row r="46" customHeight="1" spans="1:5">
      <c r="A46" s="199">
        <v>46097.8319444445</v>
      </c>
      <c r="B46" s="200" t="s">
        <v>184</v>
      </c>
      <c r="C46" s="200" t="s">
        <v>184</v>
      </c>
      <c r="D46" s="200">
        <v>351772086</v>
      </c>
      <c r="E46" s="200" t="s">
        <v>608</v>
      </c>
    </row>
    <row r="47" customHeight="1" spans="1:5">
      <c r="A47" s="199">
        <v>46098.3756944444</v>
      </c>
      <c r="B47" s="200" t="s">
        <v>159</v>
      </c>
      <c r="C47" s="200" t="s">
        <v>159</v>
      </c>
      <c r="D47" s="200">
        <v>101126670</v>
      </c>
      <c r="E47" s="200" t="s">
        <v>608</v>
      </c>
    </row>
    <row r="48" customHeight="1" spans="1:5">
      <c r="A48" s="199">
        <v>46098.3826388889</v>
      </c>
      <c r="B48" s="200" t="s">
        <v>88</v>
      </c>
      <c r="C48" s="200" t="s">
        <v>88</v>
      </c>
      <c r="D48" s="200">
        <v>266088396</v>
      </c>
      <c r="E48" s="200" t="s">
        <v>608</v>
      </c>
    </row>
    <row r="49" customHeight="1" spans="1:5">
      <c r="A49" s="199">
        <v>46098.3902777778</v>
      </c>
      <c r="B49" s="200" t="s">
        <v>99</v>
      </c>
      <c r="C49" s="200" t="s">
        <v>99</v>
      </c>
      <c r="D49" s="200">
        <v>138720710</v>
      </c>
      <c r="E49" s="200" t="s">
        <v>608</v>
      </c>
    </row>
    <row r="50" customHeight="1" spans="1:5">
      <c r="A50" s="199">
        <v>46098.4770833333</v>
      </c>
      <c r="B50" s="200" t="s">
        <v>102</v>
      </c>
      <c r="C50" s="200" t="s">
        <v>312</v>
      </c>
      <c r="D50" s="200">
        <v>173964673</v>
      </c>
      <c r="E50" s="200" t="s">
        <v>608</v>
      </c>
    </row>
    <row r="51" customHeight="1" spans="1:5">
      <c r="A51" s="199">
        <v>46098.4777777778</v>
      </c>
      <c r="B51" s="200" t="s">
        <v>155</v>
      </c>
      <c r="C51" s="200" t="s">
        <v>155</v>
      </c>
      <c r="D51" s="200">
        <v>417868870</v>
      </c>
      <c r="E51" s="200" t="s">
        <v>608</v>
      </c>
    </row>
    <row r="52" customHeight="1" spans="1:5">
      <c r="A52" s="199">
        <v>46098.5486111111</v>
      </c>
      <c r="B52" s="200" t="s">
        <v>131</v>
      </c>
      <c r="C52" s="200" t="s">
        <v>131</v>
      </c>
      <c r="D52" s="200">
        <v>381057664</v>
      </c>
      <c r="E52" s="200" t="s">
        <v>610</v>
      </c>
    </row>
    <row r="53" customHeight="1" spans="1:5">
      <c r="A53" s="199">
        <v>46098.60625</v>
      </c>
      <c r="B53" s="200" t="s">
        <v>180</v>
      </c>
      <c r="C53" s="200" t="s">
        <v>180</v>
      </c>
      <c r="D53" s="200">
        <v>144220785</v>
      </c>
      <c r="E53" s="200" t="s">
        <v>610</v>
      </c>
    </row>
    <row r="54" customHeight="1" spans="1:5">
      <c r="A54" s="199">
        <v>46098.9541666667</v>
      </c>
      <c r="B54" s="200" t="s">
        <v>75</v>
      </c>
      <c r="C54" s="200" t="s">
        <v>75</v>
      </c>
      <c r="D54" s="200">
        <v>136801289</v>
      </c>
      <c r="E54" s="200" t="s">
        <v>608</v>
      </c>
    </row>
    <row r="55" customHeight="1" spans="1:5">
      <c r="A55" s="199">
        <v>46098.9840277778</v>
      </c>
      <c r="B55" s="200" t="s">
        <v>118</v>
      </c>
      <c r="C55" s="200" t="s">
        <v>118</v>
      </c>
      <c r="D55" s="200">
        <v>154029585</v>
      </c>
      <c r="E55" s="200" t="s">
        <v>608</v>
      </c>
    </row>
    <row r="56" customHeight="1" spans="1:5">
      <c r="A56" s="199">
        <v>46098.9840277778</v>
      </c>
      <c r="B56" s="200" t="s">
        <v>92</v>
      </c>
      <c r="C56" s="200" t="s">
        <v>396</v>
      </c>
      <c r="D56" s="200">
        <v>354618808</v>
      </c>
      <c r="E56" s="200" t="s">
        <v>608</v>
      </c>
    </row>
    <row r="57" customHeight="1" spans="1:5">
      <c r="A57" s="199">
        <v>46099.3763888889</v>
      </c>
      <c r="B57" s="200" t="s">
        <v>147</v>
      </c>
      <c r="C57" s="200" t="s">
        <v>394</v>
      </c>
      <c r="D57" s="200" t="s">
        <v>395</v>
      </c>
      <c r="E57" s="200" t="s">
        <v>608</v>
      </c>
    </row>
    <row r="58" s="196" customFormat="1" customHeight="1" spans="1:26">
      <c r="A58" s="202">
        <v>46099.3770833333</v>
      </c>
      <c r="B58" s="203" t="s">
        <v>170</v>
      </c>
      <c r="C58" s="203" t="s">
        <v>170</v>
      </c>
      <c r="D58" s="203">
        <v>136537289</v>
      </c>
      <c r="E58" s="203" t="s">
        <v>608</v>
      </c>
      <c r="F58" s="34"/>
      <c r="G58" s="34"/>
      <c r="H58" s="34"/>
      <c r="I58" s="34"/>
      <c r="J58" s="34"/>
      <c r="K58" s="34"/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/>
      <c r="Y58" s="34"/>
      <c r="Z58" s="34"/>
    </row>
    <row r="59" s="34" customFormat="1" customHeight="1" spans="1:26">
      <c r="A59" s="204">
        <v>46099.3805555556</v>
      </c>
      <c r="B59" s="205" t="s">
        <v>160</v>
      </c>
      <c r="C59" s="205" t="e">
        <v>#N/A</v>
      </c>
      <c r="D59" s="205">
        <v>148343069</v>
      </c>
      <c r="E59" s="205" t="s">
        <v>608</v>
      </c>
      <c r="F59" s="207"/>
      <c r="G59" s="207"/>
      <c r="H59" s="207"/>
      <c r="I59" s="207"/>
      <c r="J59" s="207"/>
      <c r="K59" s="207"/>
      <c r="L59" s="207"/>
      <c r="M59" s="207"/>
      <c r="N59" s="207"/>
      <c r="O59" s="207"/>
      <c r="P59" s="207"/>
      <c r="Q59" s="207"/>
      <c r="R59" s="207"/>
      <c r="S59" s="207"/>
      <c r="T59" s="207"/>
      <c r="U59" s="207"/>
      <c r="V59" s="207"/>
      <c r="W59" s="207"/>
      <c r="X59" s="207"/>
      <c r="Y59" s="207"/>
      <c r="Z59" s="207"/>
    </row>
    <row r="60" customHeight="1" spans="1:5">
      <c r="A60" s="199">
        <v>46099.3861111111</v>
      </c>
      <c r="B60" s="200" t="s">
        <v>152</v>
      </c>
      <c r="C60" s="200" t="s">
        <v>152</v>
      </c>
      <c r="D60" s="200">
        <v>283200408</v>
      </c>
      <c r="E60" s="200" t="s">
        <v>608</v>
      </c>
    </row>
    <row r="61" customHeight="1" spans="1:5">
      <c r="A61" s="199">
        <v>46099.3902777778</v>
      </c>
      <c r="B61" s="200" t="s">
        <v>87</v>
      </c>
      <c r="C61" s="200" t="s">
        <v>87</v>
      </c>
      <c r="D61" s="200">
        <v>1259908216</v>
      </c>
      <c r="E61" s="200" t="s">
        <v>608</v>
      </c>
    </row>
    <row r="62" s="196" customFormat="1" customHeight="1" spans="1:26">
      <c r="A62" s="202">
        <v>46099.3930555556</v>
      </c>
      <c r="B62" s="203" t="s">
        <v>187</v>
      </c>
      <c r="C62" s="203" t="s">
        <v>187</v>
      </c>
      <c r="D62" s="203" t="s">
        <v>187</v>
      </c>
      <c r="E62" s="203" t="s">
        <v>608</v>
      </c>
      <c r="F62" s="34"/>
      <c r="G62" s="34"/>
      <c r="H62" s="34"/>
      <c r="I62" s="34"/>
      <c r="J62" s="34"/>
      <c r="K62" s="34"/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/>
      <c r="Y62" s="34"/>
      <c r="Z62" s="34"/>
    </row>
    <row r="63" s="34" customFormat="1" customHeight="1" spans="1:26">
      <c r="A63" s="204">
        <v>46099.39375</v>
      </c>
      <c r="B63" s="205" t="s">
        <v>586</v>
      </c>
      <c r="C63" s="205" t="e">
        <v>#N/A</v>
      </c>
      <c r="D63" s="205">
        <v>136356661</v>
      </c>
      <c r="E63" s="205" t="s">
        <v>608</v>
      </c>
      <c r="F63" s="207"/>
      <c r="G63" s="207"/>
      <c r="H63" s="207"/>
      <c r="I63" s="207"/>
      <c r="J63" s="207"/>
      <c r="K63" s="207"/>
      <c r="L63" s="207"/>
      <c r="M63" s="207"/>
      <c r="N63" s="207"/>
      <c r="O63" s="207"/>
      <c r="P63" s="207"/>
      <c r="Q63" s="207"/>
      <c r="R63" s="207"/>
      <c r="S63" s="207"/>
      <c r="T63" s="207"/>
      <c r="U63" s="207"/>
      <c r="V63" s="207"/>
      <c r="W63" s="207"/>
      <c r="X63" s="207"/>
      <c r="Y63" s="207"/>
      <c r="Z63" s="207"/>
    </row>
    <row r="64" customHeight="1" spans="1:5">
      <c r="A64" s="199">
        <v>46099.3944444445</v>
      </c>
      <c r="B64" s="200" t="s">
        <v>130</v>
      </c>
      <c r="C64" s="200" t="s">
        <v>130</v>
      </c>
      <c r="D64" s="200">
        <v>341670770</v>
      </c>
      <c r="E64" s="200" t="s">
        <v>608</v>
      </c>
    </row>
    <row r="65" customHeight="1" spans="1:5">
      <c r="A65" s="199">
        <v>46099.3972222222</v>
      </c>
      <c r="B65" s="200" t="s">
        <v>465</v>
      </c>
      <c r="C65" s="200" t="s">
        <v>465</v>
      </c>
      <c r="D65" s="200">
        <v>178778683</v>
      </c>
      <c r="E65" s="200" t="s">
        <v>608</v>
      </c>
    </row>
    <row r="66" customHeight="1" spans="1:5">
      <c r="A66" s="199">
        <v>46099.4020833333</v>
      </c>
      <c r="B66" s="200" t="s">
        <v>489</v>
      </c>
      <c r="C66" s="200" t="s">
        <v>489</v>
      </c>
      <c r="D66" s="200">
        <v>228914641</v>
      </c>
      <c r="E66" s="200" t="s">
        <v>608</v>
      </c>
    </row>
    <row r="67" customHeight="1" spans="1:5">
      <c r="A67" s="199">
        <v>46099.4138888889</v>
      </c>
      <c r="B67" s="200" t="s">
        <v>612</v>
      </c>
      <c r="C67" s="200" t="s">
        <v>612</v>
      </c>
      <c r="D67" s="200">
        <v>196524389</v>
      </c>
      <c r="E67" s="200" t="s">
        <v>608</v>
      </c>
    </row>
    <row r="68" customHeight="1" spans="1:5">
      <c r="A68" s="199">
        <v>46099.4847222222</v>
      </c>
      <c r="B68" s="200" t="s">
        <v>139</v>
      </c>
      <c r="C68" s="200" t="s">
        <v>416</v>
      </c>
      <c r="D68" s="200">
        <v>242739321</v>
      </c>
      <c r="E68" s="200" t="s">
        <v>608</v>
      </c>
    </row>
    <row r="69" customHeight="1" spans="1:5">
      <c r="A69" s="199">
        <v>46099.4861111111</v>
      </c>
      <c r="B69" s="200" t="s">
        <v>91</v>
      </c>
      <c r="C69" s="200" t="s">
        <v>91</v>
      </c>
      <c r="D69" s="200">
        <v>401464166</v>
      </c>
      <c r="E69" s="200" t="s">
        <v>608</v>
      </c>
    </row>
    <row r="70" s="196" customFormat="1" customHeight="1" spans="1:26">
      <c r="A70" s="202">
        <v>46099.4930555556</v>
      </c>
      <c r="B70" s="203" t="s">
        <v>457</v>
      </c>
      <c r="C70" s="203" t="s">
        <v>457</v>
      </c>
      <c r="D70" s="203">
        <v>77006306</v>
      </c>
      <c r="E70" s="203" t="s">
        <v>608</v>
      </c>
      <c r="F70" s="34"/>
      <c r="G70" s="34"/>
      <c r="H70" s="34"/>
      <c r="I70" s="34"/>
      <c r="J70" s="34"/>
      <c r="K70" s="34"/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/>
      <c r="Y70" s="34"/>
      <c r="Z70" s="34"/>
    </row>
    <row r="71" s="34" customFormat="1" customHeight="1" spans="1:26">
      <c r="A71" s="204">
        <v>46099.5034722222</v>
      </c>
      <c r="B71" s="205" t="s">
        <v>613</v>
      </c>
      <c r="C71" s="205" t="e">
        <v>#N/A</v>
      </c>
      <c r="D71" s="205">
        <v>338904148</v>
      </c>
      <c r="E71" s="205" t="s">
        <v>608</v>
      </c>
      <c r="F71" s="207"/>
      <c r="G71" s="207"/>
      <c r="H71" s="207"/>
      <c r="I71" s="207"/>
      <c r="J71" s="207"/>
      <c r="K71" s="207"/>
      <c r="L71" s="207"/>
      <c r="M71" s="207"/>
      <c r="N71" s="207"/>
      <c r="O71" s="207"/>
      <c r="P71" s="207"/>
      <c r="Q71" s="207"/>
      <c r="R71" s="207"/>
      <c r="S71" s="207"/>
      <c r="T71" s="207"/>
      <c r="U71" s="207"/>
      <c r="V71" s="207"/>
      <c r="W71" s="207"/>
      <c r="X71" s="207"/>
      <c r="Y71" s="207"/>
      <c r="Z71" s="207"/>
    </row>
    <row r="72" customHeight="1" spans="1:5">
      <c r="A72" s="199">
        <v>46099.5423611111</v>
      </c>
      <c r="B72" s="200" t="s">
        <v>614</v>
      </c>
      <c r="C72" s="200" t="s">
        <v>614</v>
      </c>
      <c r="D72" s="200">
        <v>193243759</v>
      </c>
      <c r="E72" s="200" t="s">
        <v>608</v>
      </c>
    </row>
  </sheetData>
  <mergeCells count="1">
    <mergeCell ref="F2:G6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截至20260318参加过内战名单">
    <tabColor rgb="FFFFFF00"/>
  </sheetPr>
  <dimension ref="A1:B485"/>
  <sheetViews>
    <sheetView workbookViewId="0">
      <selection activeCell="A1" sqref="A1"/>
    </sheetView>
  </sheetViews>
  <sheetFormatPr defaultColWidth="14" defaultRowHeight="18" customHeight="1" outlineLevelCol="1"/>
  <cols>
    <col min="1" max="1" width="45.7109375" customWidth="1"/>
  </cols>
  <sheetData>
    <row r="1" customHeight="1" spans="1:2">
      <c r="A1" s="191" t="s">
        <v>83</v>
      </c>
      <c r="B1" s="192"/>
    </row>
    <row r="2" customHeight="1" spans="1:1">
      <c r="A2" s="193" t="s">
        <v>250</v>
      </c>
    </row>
    <row r="3" customHeight="1" spans="1:1">
      <c r="A3" s="193" t="s">
        <v>362</v>
      </c>
    </row>
    <row r="4" customHeight="1" spans="1:1">
      <c r="A4" s="193" t="s">
        <v>495</v>
      </c>
    </row>
    <row r="5" customHeight="1" spans="1:1">
      <c r="A5" s="193" t="s">
        <v>143</v>
      </c>
    </row>
    <row r="6" customHeight="1" spans="1:1">
      <c r="A6" s="191" t="s">
        <v>299</v>
      </c>
    </row>
    <row r="7" customHeight="1" spans="1:1">
      <c r="A7" s="194">
        <v>21</v>
      </c>
    </row>
    <row r="8" customHeight="1" spans="1:1">
      <c r="A8" s="191" t="s">
        <v>331</v>
      </c>
    </row>
    <row r="9" customHeight="1" spans="1:1">
      <c r="A9" s="191" t="s">
        <v>615</v>
      </c>
    </row>
    <row r="10" customHeight="1" spans="1:1">
      <c r="A10" s="193" t="s">
        <v>533</v>
      </c>
    </row>
    <row r="11" customHeight="1" spans="1:1">
      <c r="A11" s="193" t="s">
        <v>616</v>
      </c>
    </row>
    <row r="12" customHeight="1" spans="1:1">
      <c r="A12" s="193" t="s">
        <v>80</v>
      </c>
    </row>
    <row r="13" customHeight="1" spans="1:1">
      <c r="A13" s="193" t="s">
        <v>453</v>
      </c>
    </row>
    <row r="14" customHeight="1" spans="1:1">
      <c r="A14" s="193" t="s">
        <v>617</v>
      </c>
    </row>
    <row r="15" customHeight="1" spans="1:1">
      <c r="A15" s="193" t="s">
        <v>529</v>
      </c>
    </row>
    <row r="16" customHeight="1" spans="1:1">
      <c r="A16" s="193" t="s">
        <v>138</v>
      </c>
    </row>
    <row r="17" customHeight="1" spans="1:1">
      <c r="A17" s="193" t="s">
        <v>318</v>
      </c>
    </row>
    <row r="18" customHeight="1" spans="1:1">
      <c r="A18" s="193" t="s">
        <v>400</v>
      </c>
    </row>
    <row r="19" customHeight="1" spans="1:1">
      <c r="A19" s="193" t="s">
        <v>468</v>
      </c>
    </row>
    <row r="20" customHeight="1" spans="1:1">
      <c r="A20" s="193" t="s">
        <v>511</v>
      </c>
    </row>
    <row r="21" customHeight="1" spans="1:1">
      <c r="A21" s="191" t="s">
        <v>143</v>
      </c>
    </row>
    <row r="22" customHeight="1" spans="1:1">
      <c r="A22" s="193" t="s">
        <v>83</v>
      </c>
    </row>
    <row r="23" customHeight="1" spans="1:1">
      <c r="A23" s="193" t="s">
        <v>104</v>
      </c>
    </row>
    <row r="24" customHeight="1" spans="1:1">
      <c r="A24" s="193" t="s">
        <v>255</v>
      </c>
    </row>
    <row r="25" customHeight="1" spans="1:1">
      <c r="A25" s="193" t="s">
        <v>123</v>
      </c>
    </row>
    <row r="26" customHeight="1" spans="1:1">
      <c r="A26" s="191" t="s">
        <v>144</v>
      </c>
    </row>
    <row r="27" customHeight="1" spans="1:1">
      <c r="A27" s="191" t="s">
        <v>618</v>
      </c>
    </row>
    <row r="28" customHeight="1" spans="1:1">
      <c r="A28" s="191" t="s">
        <v>118</v>
      </c>
    </row>
    <row r="29" customHeight="1" spans="1:1">
      <c r="A29" s="191" t="s">
        <v>340</v>
      </c>
    </row>
    <row r="30" customHeight="1" spans="1:1">
      <c r="A30" s="193" t="s">
        <v>529</v>
      </c>
    </row>
    <row r="31" customHeight="1" spans="1:1">
      <c r="A31" s="193" t="s">
        <v>550</v>
      </c>
    </row>
    <row r="32" customHeight="1" spans="1:1">
      <c r="A32" s="193" t="s">
        <v>80</v>
      </c>
    </row>
    <row r="33" customHeight="1" spans="1:1">
      <c r="A33" s="193" t="s">
        <v>138</v>
      </c>
    </row>
    <row r="34" customHeight="1" spans="1:1">
      <c r="A34" s="193" t="s">
        <v>495</v>
      </c>
    </row>
    <row r="35" customHeight="1" spans="1:1">
      <c r="A35" s="193" t="s">
        <v>519</v>
      </c>
    </row>
    <row r="36" customHeight="1" spans="1:1">
      <c r="A36" s="193" t="s">
        <v>187</v>
      </c>
    </row>
    <row r="37" customHeight="1" spans="1:1">
      <c r="A37" s="193" t="s">
        <v>362</v>
      </c>
    </row>
    <row r="38" customHeight="1" spans="1:1">
      <c r="A38" s="193" t="s">
        <v>330</v>
      </c>
    </row>
    <row r="39" customHeight="1" spans="1:1">
      <c r="A39" s="193" t="s">
        <v>303</v>
      </c>
    </row>
    <row r="40" customHeight="1" spans="1:1">
      <c r="A40" s="193" t="s">
        <v>124</v>
      </c>
    </row>
    <row r="41" customHeight="1" spans="1:1">
      <c r="A41" s="193" t="s">
        <v>546</v>
      </c>
    </row>
    <row r="42" customHeight="1" spans="1:1">
      <c r="A42" s="193" t="s">
        <v>85</v>
      </c>
    </row>
    <row r="43" customHeight="1" spans="1:1">
      <c r="A43" s="193" t="s">
        <v>245</v>
      </c>
    </row>
    <row r="44" customHeight="1" spans="1:1">
      <c r="A44" s="193" t="s">
        <v>318</v>
      </c>
    </row>
    <row r="45" customHeight="1" spans="1:1">
      <c r="A45" s="193" t="s">
        <v>485</v>
      </c>
    </row>
    <row r="46" customHeight="1" spans="1:1">
      <c r="A46" s="193" t="s">
        <v>559</v>
      </c>
    </row>
    <row r="47" customHeight="1" spans="1:1">
      <c r="A47" s="193" t="s">
        <v>400</v>
      </c>
    </row>
    <row r="48" customHeight="1" spans="1:1">
      <c r="A48" s="193" t="s">
        <v>107</v>
      </c>
    </row>
    <row r="49" customHeight="1" spans="1:1">
      <c r="A49" s="193" t="s">
        <v>615</v>
      </c>
    </row>
    <row r="50" customHeight="1" spans="1:1">
      <c r="A50" s="193" t="s">
        <v>533</v>
      </c>
    </row>
    <row r="51" customHeight="1" spans="1:1">
      <c r="A51" s="193" t="s">
        <v>83</v>
      </c>
    </row>
    <row r="52" customHeight="1" spans="1:1">
      <c r="A52" s="193" t="s">
        <v>362</v>
      </c>
    </row>
    <row r="53" customHeight="1" spans="1:1">
      <c r="A53" s="193" t="s">
        <v>118</v>
      </c>
    </row>
    <row r="54" customHeight="1" spans="1:1">
      <c r="A54" s="193" t="s">
        <v>124</v>
      </c>
    </row>
    <row r="55" customHeight="1" spans="1:1">
      <c r="A55" s="193" t="s">
        <v>451</v>
      </c>
    </row>
    <row r="56" customHeight="1" spans="1:1">
      <c r="A56" s="191" t="s">
        <v>294</v>
      </c>
    </row>
    <row r="57" customHeight="1" spans="1:1">
      <c r="A57" s="191" t="s">
        <v>619</v>
      </c>
    </row>
    <row r="58" customHeight="1" spans="1:1">
      <c r="A58" s="191" t="s">
        <v>245</v>
      </c>
    </row>
    <row r="59" customHeight="1" spans="1:1">
      <c r="A59" s="191" t="s">
        <v>427</v>
      </c>
    </row>
    <row r="60" customHeight="1" spans="1:1">
      <c r="A60" s="191" t="s">
        <v>143</v>
      </c>
    </row>
    <row r="61" customHeight="1" spans="1:1">
      <c r="A61" s="193" t="s">
        <v>85</v>
      </c>
    </row>
    <row r="62" customHeight="1" spans="1:1">
      <c r="A62" s="193" t="s">
        <v>340</v>
      </c>
    </row>
    <row r="63" customHeight="1" spans="1:1">
      <c r="A63" s="195">
        <v>21</v>
      </c>
    </row>
    <row r="64" customHeight="1" spans="1:1">
      <c r="A64" s="193" t="s">
        <v>331</v>
      </c>
    </row>
    <row r="65" customHeight="1" spans="1:1">
      <c r="A65" s="193" t="s">
        <v>527</v>
      </c>
    </row>
    <row r="66" customHeight="1" spans="1:1">
      <c r="A66" s="193" t="s">
        <v>101</v>
      </c>
    </row>
    <row r="67" customHeight="1" spans="1:1">
      <c r="A67" s="193" t="s">
        <v>250</v>
      </c>
    </row>
    <row r="68" customHeight="1" spans="1:1">
      <c r="A68" s="193" t="s">
        <v>519</v>
      </c>
    </row>
    <row r="69" customHeight="1" spans="1:1">
      <c r="A69" s="193" t="s">
        <v>162</v>
      </c>
    </row>
    <row r="70" customHeight="1" spans="1:1">
      <c r="A70" s="193" t="s">
        <v>495</v>
      </c>
    </row>
    <row r="71" customHeight="1" spans="1:1">
      <c r="A71" s="193" t="s">
        <v>250</v>
      </c>
    </row>
    <row r="72" customHeight="1" spans="1:1">
      <c r="A72" s="193" t="s">
        <v>362</v>
      </c>
    </row>
    <row r="73" customHeight="1" spans="1:1">
      <c r="A73" s="193" t="s">
        <v>318</v>
      </c>
    </row>
    <row r="74" customHeight="1" spans="1:1">
      <c r="A74" s="193" t="s">
        <v>100</v>
      </c>
    </row>
    <row r="75" customHeight="1" spans="1:1">
      <c r="A75" s="193" t="s">
        <v>529</v>
      </c>
    </row>
    <row r="76" customHeight="1" spans="1:1">
      <c r="A76" s="191" t="s">
        <v>427</v>
      </c>
    </row>
    <row r="77" customHeight="1" spans="1:1">
      <c r="A77" s="191" t="s">
        <v>80</v>
      </c>
    </row>
    <row r="78" customHeight="1" spans="1:1">
      <c r="A78" s="191" t="s">
        <v>96</v>
      </c>
    </row>
    <row r="79" customHeight="1" spans="1:1">
      <c r="A79" s="191" t="s">
        <v>486</v>
      </c>
    </row>
    <row r="80" customHeight="1" spans="1:1">
      <c r="A80" s="191" t="s">
        <v>524</v>
      </c>
    </row>
    <row r="81" customHeight="1" spans="1:1">
      <c r="A81" s="193" t="s">
        <v>365</v>
      </c>
    </row>
    <row r="82" customHeight="1" spans="1:1">
      <c r="A82" s="193" t="s">
        <v>619</v>
      </c>
    </row>
    <row r="83" customHeight="1" spans="1:1">
      <c r="A83" s="193" t="s">
        <v>124</v>
      </c>
    </row>
    <row r="84" customHeight="1" spans="1:1">
      <c r="A84" s="193" t="s">
        <v>620</v>
      </c>
    </row>
    <row r="85" customHeight="1" spans="1:1">
      <c r="A85" s="193" t="s">
        <v>519</v>
      </c>
    </row>
    <row r="86" customHeight="1" spans="1:1">
      <c r="A86" s="193" t="s">
        <v>118</v>
      </c>
    </row>
    <row r="87" customHeight="1" spans="1:1">
      <c r="A87" s="193" t="s">
        <v>618</v>
      </c>
    </row>
    <row r="88" customHeight="1" spans="1:1">
      <c r="A88" s="193" t="s">
        <v>340</v>
      </c>
    </row>
    <row r="89" customHeight="1" spans="1:1">
      <c r="A89" s="193" t="s">
        <v>144</v>
      </c>
    </row>
    <row r="90" customHeight="1" spans="1:1">
      <c r="A90" s="193" t="s">
        <v>468</v>
      </c>
    </row>
    <row r="91" customHeight="1" spans="1:1">
      <c r="A91" s="193" t="s">
        <v>396</v>
      </c>
    </row>
    <row r="92" customHeight="1" spans="1:1">
      <c r="A92" s="193" t="s">
        <v>322</v>
      </c>
    </row>
    <row r="93" customHeight="1" spans="1:1">
      <c r="A93" s="193" t="s">
        <v>370</v>
      </c>
    </row>
    <row r="94" customHeight="1" spans="1:1">
      <c r="A94" s="193" t="s">
        <v>505</v>
      </c>
    </row>
    <row r="95" customHeight="1" spans="1:1">
      <c r="A95" s="193" t="s">
        <v>477</v>
      </c>
    </row>
    <row r="96" customHeight="1" spans="1:1">
      <c r="A96" s="191" t="s">
        <v>360</v>
      </c>
    </row>
    <row r="97" customHeight="1" spans="1:1">
      <c r="A97" s="191" t="s">
        <v>303</v>
      </c>
    </row>
    <row r="98" customHeight="1" spans="1:1">
      <c r="A98" s="191" t="s">
        <v>333</v>
      </c>
    </row>
    <row r="99" customHeight="1" spans="1:1">
      <c r="A99" s="191" t="s">
        <v>540</v>
      </c>
    </row>
    <row r="100" customHeight="1" spans="1:1">
      <c r="A100" s="191" t="s">
        <v>123</v>
      </c>
    </row>
    <row r="101" customHeight="1" spans="1:1">
      <c r="A101" s="193" t="s">
        <v>410</v>
      </c>
    </row>
    <row r="102" customHeight="1" spans="1:1">
      <c r="A102" s="193" t="s">
        <v>83</v>
      </c>
    </row>
    <row r="103" customHeight="1" spans="1:1">
      <c r="A103" s="193" t="s">
        <v>85</v>
      </c>
    </row>
    <row r="104" customHeight="1" spans="1:1">
      <c r="A104" s="193" t="s">
        <v>101</v>
      </c>
    </row>
    <row r="105" customHeight="1" spans="1:1">
      <c r="A105" s="193" t="s">
        <v>621</v>
      </c>
    </row>
    <row r="106" customHeight="1" spans="1:1">
      <c r="A106" s="193" t="s">
        <v>622</v>
      </c>
    </row>
    <row r="107" customHeight="1" spans="1:1">
      <c r="A107" s="193" t="s">
        <v>107</v>
      </c>
    </row>
    <row r="108" customHeight="1" spans="1:1">
      <c r="A108" s="193" t="s">
        <v>623</v>
      </c>
    </row>
    <row r="109" customHeight="1" spans="1:1">
      <c r="A109" s="193" t="s">
        <v>143</v>
      </c>
    </row>
    <row r="110" customHeight="1" spans="1:1">
      <c r="A110" s="193" t="s">
        <v>424</v>
      </c>
    </row>
    <row r="111" customHeight="1" spans="1:1">
      <c r="A111" s="193" t="s">
        <v>618</v>
      </c>
    </row>
    <row r="112" customHeight="1" spans="1:1">
      <c r="A112" s="195">
        <v>21</v>
      </c>
    </row>
    <row r="113" customHeight="1" spans="1:1">
      <c r="A113" s="193" t="s">
        <v>360</v>
      </c>
    </row>
    <row r="114" customHeight="1" spans="1:1">
      <c r="A114" s="193" t="s">
        <v>427</v>
      </c>
    </row>
    <row r="115" customHeight="1" spans="1:1">
      <c r="A115" s="193" t="s">
        <v>143</v>
      </c>
    </row>
    <row r="116" customHeight="1" spans="1:1">
      <c r="A116" s="191" t="s">
        <v>83</v>
      </c>
    </row>
    <row r="117" customHeight="1" spans="1:1">
      <c r="A117" s="191" t="s">
        <v>124</v>
      </c>
    </row>
    <row r="118" customHeight="1" spans="1:1">
      <c r="A118" s="191" t="s">
        <v>322</v>
      </c>
    </row>
    <row r="119" customHeight="1" spans="1:1">
      <c r="A119" s="191" t="s">
        <v>451</v>
      </c>
    </row>
    <row r="120" customHeight="1" spans="1:1">
      <c r="A120" s="191" t="s">
        <v>522</v>
      </c>
    </row>
    <row r="121" customHeight="1" spans="1:1">
      <c r="A121" s="193" t="s">
        <v>611</v>
      </c>
    </row>
    <row r="122" customHeight="1" spans="1:1">
      <c r="A122" s="193" t="s">
        <v>333</v>
      </c>
    </row>
    <row r="123" customHeight="1" spans="1:1">
      <c r="A123" s="193" t="s">
        <v>410</v>
      </c>
    </row>
    <row r="124" customHeight="1" spans="1:1">
      <c r="A124" s="193" t="s">
        <v>100</v>
      </c>
    </row>
    <row r="125" customHeight="1" spans="1:1">
      <c r="A125" s="193" t="s">
        <v>559</v>
      </c>
    </row>
    <row r="126" customHeight="1" spans="1:1">
      <c r="A126" s="193" t="s">
        <v>80</v>
      </c>
    </row>
    <row r="127" customHeight="1" spans="1:1">
      <c r="A127" s="193" t="s">
        <v>294</v>
      </c>
    </row>
    <row r="128" customHeight="1" spans="1:1">
      <c r="A128" s="193" t="s">
        <v>486</v>
      </c>
    </row>
    <row r="129" customHeight="1" spans="1:1">
      <c r="A129" s="193" t="s">
        <v>340</v>
      </c>
    </row>
    <row r="130" customHeight="1" spans="1:1">
      <c r="A130" s="193" t="s">
        <v>99</v>
      </c>
    </row>
    <row r="131" customHeight="1" spans="1:1">
      <c r="A131" s="193" t="s">
        <v>315</v>
      </c>
    </row>
    <row r="132" customHeight="1" spans="1:1">
      <c r="A132" s="193" t="s">
        <v>303</v>
      </c>
    </row>
    <row r="133" customHeight="1" spans="1:1">
      <c r="A133" s="193" t="s">
        <v>615</v>
      </c>
    </row>
    <row r="134" customHeight="1" spans="1:1">
      <c r="A134" s="193" t="s">
        <v>331</v>
      </c>
    </row>
    <row r="135" customHeight="1" spans="1:1">
      <c r="A135" s="193" t="s">
        <v>179</v>
      </c>
    </row>
    <row r="136" customHeight="1" spans="1:1">
      <c r="A136" s="193" t="s">
        <v>624</v>
      </c>
    </row>
    <row r="137" customHeight="1" spans="1:1">
      <c r="A137" s="193" t="s">
        <v>623</v>
      </c>
    </row>
    <row r="138" customHeight="1" spans="1:1">
      <c r="A138" s="193" t="s">
        <v>394</v>
      </c>
    </row>
    <row r="139" customHeight="1" spans="1:1">
      <c r="A139" s="193" t="s">
        <v>529</v>
      </c>
    </row>
    <row r="140" customHeight="1" spans="1:1">
      <c r="A140" s="193" t="s">
        <v>421</v>
      </c>
    </row>
    <row r="141" customHeight="1" spans="1:1">
      <c r="A141" s="193" t="s">
        <v>107</v>
      </c>
    </row>
    <row r="142" customHeight="1" spans="1:1">
      <c r="A142" s="193" t="s">
        <v>104</v>
      </c>
    </row>
    <row r="143" customHeight="1" spans="1:1">
      <c r="A143" s="193" t="s">
        <v>255</v>
      </c>
    </row>
    <row r="144" customHeight="1" spans="1:1">
      <c r="A144" s="193" t="s">
        <v>253</v>
      </c>
    </row>
    <row r="145" customHeight="1" spans="1:1">
      <c r="A145" s="193" t="s">
        <v>471</v>
      </c>
    </row>
    <row r="146" customHeight="1" spans="1:1">
      <c r="A146" s="191" t="s">
        <v>101</v>
      </c>
    </row>
    <row r="147" customHeight="1" spans="1:1">
      <c r="A147" s="191" t="s">
        <v>150</v>
      </c>
    </row>
    <row r="148" customHeight="1" spans="1:1">
      <c r="A148" s="191" t="s">
        <v>250</v>
      </c>
    </row>
    <row r="149" customHeight="1" spans="1:1">
      <c r="A149" s="191" t="s">
        <v>370</v>
      </c>
    </row>
    <row r="150" customHeight="1" spans="1:1">
      <c r="A150" s="191" t="s">
        <v>187</v>
      </c>
    </row>
    <row r="151" customHeight="1" spans="1:1">
      <c r="A151" s="191" t="s">
        <v>143</v>
      </c>
    </row>
    <row r="152" customHeight="1" spans="1:1">
      <c r="A152" s="193" t="s">
        <v>138</v>
      </c>
    </row>
    <row r="153" customHeight="1" spans="1:1">
      <c r="A153" s="193" t="s">
        <v>618</v>
      </c>
    </row>
    <row r="154" customHeight="1" spans="1:1">
      <c r="A154" s="193" t="s">
        <v>622</v>
      </c>
    </row>
    <row r="155" customHeight="1" spans="1:1">
      <c r="A155" s="193" t="s">
        <v>562</v>
      </c>
    </row>
    <row r="156" customHeight="1" spans="1:1">
      <c r="A156" s="191" t="s">
        <v>94</v>
      </c>
    </row>
    <row r="157" customHeight="1" spans="1:1">
      <c r="A157" s="191" t="s">
        <v>228</v>
      </c>
    </row>
    <row r="158" customHeight="1" spans="1:1">
      <c r="A158" s="191" t="s">
        <v>354</v>
      </c>
    </row>
    <row r="159" customHeight="1" spans="1:1">
      <c r="A159" s="191" t="s">
        <v>394</v>
      </c>
    </row>
    <row r="160" customHeight="1" spans="1:1">
      <c r="A160" s="193" t="s">
        <v>253</v>
      </c>
    </row>
    <row r="161" customHeight="1" spans="1:1">
      <c r="A161" s="193" t="s">
        <v>625</v>
      </c>
    </row>
    <row r="162" customHeight="1" spans="1:1">
      <c r="A162" s="193" t="s">
        <v>84</v>
      </c>
    </row>
    <row r="163" customHeight="1" spans="1:1">
      <c r="A163" s="193" t="s">
        <v>626</v>
      </c>
    </row>
    <row r="164" customHeight="1" spans="1:1">
      <c r="A164" s="193" t="s">
        <v>384</v>
      </c>
    </row>
    <row r="165" customHeight="1" spans="1:1">
      <c r="A165" s="193" t="s">
        <v>132</v>
      </c>
    </row>
    <row r="166" customHeight="1" spans="1:1">
      <c r="A166" s="193" t="s">
        <v>477</v>
      </c>
    </row>
    <row r="167" customHeight="1" spans="1:1">
      <c r="A167" s="193" t="s">
        <v>303</v>
      </c>
    </row>
    <row r="168" customHeight="1" spans="1:1">
      <c r="A168" s="193" t="s">
        <v>101</v>
      </c>
    </row>
    <row r="169" customHeight="1" spans="1:1">
      <c r="A169" s="193" t="s">
        <v>250</v>
      </c>
    </row>
    <row r="170" customHeight="1" spans="1:1">
      <c r="A170" s="193" t="s">
        <v>627</v>
      </c>
    </row>
    <row r="171" customHeight="1" spans="1:1">
      <c r="A171" s="193" t="s">
        <v>439</v>
      </c>
    </row>
    <row r="172" customHeight="1" spans="1:1">
      <c r="A172" s="193" t="s">
        <v>80</v>
      </c>
    </row>
    <row r="173" customHeight="1" spans="1:1">
      <c r="A173" s="193" t="s">
        <v>410</v>
      </c>
    </row>
    <row r="174" customHeight="1" spans="1:1">
      <c r="A174" s="193" t="s">
        <v>87</v>
      </c>
    </row>
    <row r="175" customHeight="1" spans="1:1">
      <c r="A175" s="193" t="s">
        <v>330</v>
      </c>
    </row>
    <row r="176" customHeight="1" spans="1:1">
      <c r="A176" s="193" t="s">
        <v>628</v>
      </c>
    </row>
    <row r="177" customHeight="1" spans="1:1">
      <c r="A177" s="193" t="s">
        <v>88</v>
      </c>
    </row>
    <row r="178" customHeight="1" spans="1:1">
      <c r="A178" s="193" t="s">
        <v>629</v>
      </c>
    </row>
    <row r="179" customHeight="1" spans="1:1">
      <c r="A179" s="193" t="s">
        <v>150</v>
      </c>
    </row>
    <row r="180" customHeight="1" spans="1:1">
      <c r="A180" s="193" t="s">
        <v>529</v>
      </c>
    </row>
    <row r="181" customHeight="1" spans="1:1">
      <c r="A181" s="193" t="s">
        <v>172</v>
      </c>
    </row>
    <row r="182" customHeight="1" spans="1:1">
      <c r="A182" s="193" t="s">
        <v>118</v>
      </c>
    </row>
    <row r="183" customHeight="1" spans="1:1">
      <c r="A183" s="193" t="s">
        <v>611</v>
      </c>
    </row>
    <row r="184" customHeight="1" spans="1:1">
      <c r="A184" s="193" t="s">
        <v>355</v>
      </c>
    </row>
    <row r="185" customHeight="1" spans="1:1">
      <c r="A185" s="193" t="s">
        <v>421</v>
      </c>
    </row>
    <row r="186" customHeight="1" spans="1:1">
      <c r="A186" s="191" t="s">
        <v>567</v>
      </c>
    </row>
    <row r="187" customHeight="1" spans="1:1">
      <c r="A187" s="193" t="s">
        <v>83</v>
      </c>
    </row>
    <row r="188" customHeight="1" spans="1:1">
      <c r="A188" s="193" t="s">
        <v>330</v>
      </c>
    </row>
    <row r="189" customHeight="1" spans="1:1">
      <c r="A189" s="193" t="s">
        <v>346</v>
      </c>
    </row>
    <row r="190" customHeight="1" spans="1:1">
      <c r="A190" s="193" t="s">
        <v>124</v>
      </c>
    </row>
    <row r="191" customHeight="1" spans="1:1">
      <c r="A191" s="191" t="s">
        <v>453</v>
      </c>
    </row>
    <row r="192" customHeight="1" spans="1:1">
      <c r="A192" s="191" t="s">
        <v>322</v>
      </c>
    </row>
    <row r="193" customHeight="1" spans="1:1">
      <c r="A193" s="191" t="s">
        <v>131</v>
      </c>
    </row>
    <row r="194" customHeight="1" spans="1:1">
      <c r="A194" s="191" t="s">
        <v>396</v>
      </c>
    </row>
    <row r="195" customHeight="1" spans="1:1">
      <c r="A195" s="193" t="s">
        <v>162</v>
      </c>
    </row>
    <row r="196" customHeight="1" spans="1:1">
      <c r="A196" s="193" t="s">
        <v>143</v>
      </c>
    </row>
    <row r="197" customHeight="1" spans="1:1">
      <c r="A197" s="193" t="s">
        <v>138</v>
      </c>
    </row>
    <row r="198" customHeight="1" spans="1:1">
      <c r="A198" s="193" t="s">
        <v>354</v>
      </c>
    </row>
    <row r="199" customHeight="1" spans="1:1">
      <c r="A199" s="193" t="s">
        <v>365</v>
      </c>
    </row>
    <row r="200" customHeight="1" spans="1:1">
      <c r="A200" s="193" t="s">
        <v>360</v>
      </c>
    </row>
    <row r="201" customHeight="1" spans="1:1">
      <c r="A201" s="193" t="s">
        <v>94</v>
      </c>
    </row>
    <row r="202" customHeight="1" spans="1:1">
      <c r="A202" s="193" t="s">
        <v>80</v>
      </c>
    </row>
    <row r="203" customHeight="1" spans="1:1">
      <c r="A203" s="193" t="s">
        <v>250</v>
      </c>
    </row>
    <row r="204" customHeight="1" spans="1:1">
      <c r="A204" s="193" t="s">
        <v>618</v>
      </c>
    </row>
    <row r="205" customHeight="1" spans="1:1">
      <c r="A205" s="193" t="s">
        <v>420</v>
      </c>
    </row>
    <row r="206" customHeight="1" spans="1:1">
      <c r="A206" s="191" t="s">
        <v>532</v>
      </c>
    </row>
    <row r="207" customHeight="1" spans="1:1">
      <c r="A207" s="195">
        <v>21</v>
      </c>
    </row>
    <row r="208" customHeight="1" spans="1:1">
      <c r="A208" s="193" t="s">
        <v>118</v>
      </c>
    </row>
    <row r="209" customHeight="1" spans="1:1">
      <c r="A209" s="193" t="s">
        <v>87</v>
      </c>
    </row>
    <row r="210" customHeight="1" spans="1:1">
      <c r="A210" s="193" t="s">
        <v>370</v>
      </c>
    </row>
    <row r="211" customHeight="1" spans="1:1">
      <c r="A211" s="191" t="s">
        <v>495</v>
      </c>
    </row>
    <row r="212" customHeight="1" spans="1:1">
      <c r="A212" s="191" t="s">
        <v>619</v>
      </c>
    </row>
    <row r="213" customHeight="1" spans="1:1">
      <c r="A213" s="191" t="s">
        <v>611</v>
      </c>
    </row>
    <row r="214" customHeight="1" spans="1:1">
      <c r="A214" s="191" t="s">
        <v>318</v>
      </c>
    </row>
    <row r="215" customHeight="1" spans="1:1">
      <c r="A215" s="193" t="s">
        <v>388</v>
      </c>
    </row>
    <row r="216" customHeight="1" spans="1:1">
      <c r="A216" s="193" t="s">
        <v>474</v>
      </c>
    </row>
    <row r="217" customHeight="1" spans="1:1">
      <c r="A217" s="193" t="s">
        <v>630</v>
      </c>
    </row>
    <row r="218" customHeight="1" spans="1:1">
      <c r="A218" s="193" t="s">
        <v>410</v>
      </c>
    </row>
    <row r="219" customHeight="1" spans="1:1">
      <c r="A219" s="193" t="s">
        <v>96</v>
      </c>
    </row>
    <row r="220" customHeight="1" spans="1:1">
      <c r="A220" s="193" t="s">
        <v>378</v>
      </c>
    </row>
    <row r="221" customHeight="1" spans="1:1">
      <c r="A221" s="193" t="s">
        <v>113</v>
      </c>
    </row>
    <row r="222" customHeight="1" spans="1:1">
      <c r="A222" s="193" t="s">
        <v>107</v>
      </c>
    </row>
    <row r="223" customHeight="1" spans="1:1">
      <c r="A223" s="193" t="s">
        <v>104</v>
      </c>
    </row>
    <row r="224" customHeight="1" spans="1:1">
      <c r="A224" s="193" t="s">
        <v>550</v>
      </c>
    </row>
    <row r="225" customHeight="1" spans="1:1">
      <c r="A225" s="193" t="s">
        <v>99</v>
      </c>
    </row>
    <row r="226" customHeight="1" spans="1:1">
      <c r="A226" s="193" t="s">
        <v>83</v>
      </c>
    </row>
    <row r="227" customHeight="1" spans="1:1">
      <c r="A227" s="193" t="s">
        <v>107</v>
      </c>
    </row>
    <row r="228" customHeight="1" spans="1:1">
      <c r="A228" s="193" t="s">
        <v>151</v>
      </c>
    </row>
    <row r="229" customHeight="1" spans="1:1">
      <c r="A229" s="193" t="s">
        <v>631</v>
      </c>
    </row>
    <row r="230" customHeight="1" spans="1:1">
      <c r="A230" s="193" t="s">
        <v>179</v>
      </c>
    </row>
    <row r="231" customHeight="1" spans="1:1">
      <c r="A231" s="191" t="s">
        <v>611</v>
      </c>
    </row>
    <row r="232" customHeight="1" spans="1:1">
      <c r="A232" s="191" t="s">
        <v>619</v>
      </c>
    </row>
    <row r="233" customHeight="1" spans="1:1">
      <c r="A233" s="191" t="s">
        <v>300</v>
      </c>
    </row>
    <row r="234" customHeight="1" spans="1:1">
      <c r="A234" s="191" t="s">
        <v>628</v>
      </c>
    </row>
    <row r="235" customHeight="1" spans="1:1">
      <c r="A235" s="191" t="s">
        <v>418</v>
      </c>
    </row>
    <row r="236" customHeight="1" spans="1:1">
      <c r="A236" s="193" t="s">
        <v>253</v>
      </c>
    </row>
    <row r="237" customHeight="1" spans="1:1">
      <c r="A237" s="193" t="s">
        <v>80</v>
      </c>
    </row>
    <row r="238" customHeight="1" spans="1:1">
      <c r="A238" s="193" t="s">
        <v>354</v>
      </c>
    </row>
    <row r="239" customHeight="1" spans="1:1">
      <c r="A239" s="193" t="s">
        <v>632</v>
      </c>
    </row>
    <row r="240" customHeight="1" spans="1:1">
      <c r="A240" s="193" t="s">
        <v>172</v>
      </c>
    </row>
    <row r="241" customHeight="1" spans="1:1">
      <c r="A241" s="193" t="s">
        <v>408</v>
      </c>
    </row>
    <row r="242" customHeight="1" spans="1:1">
      <c r="A242" s="193" t="s">
        <v>281</v>
      </c>
    </row>
    <row r="243" customHeight="1" spans="1:1">
      <c r="A243" s="193" t="s">
        <v>633</v>
      </c>
    </row>
    <row r="244" customHeight="1" spans="1:1">
      <c r="A244" s="193" t="s">
        <v>396</v>
      </c>
    </row>
    <row r="245" customHeight="1" spans="1:1">
      <c r="A245" s="193" t="s">
        <v>174</v>
      </c>
    </row>
    <row r="246" customHeight="1" spans="1:1">
      <c r="A246" s="193" t="s">
        <v>634</v>
      </c>
    </row>
    <row r="247" customHeight="1" spans="1:1">
      <c r="A247" s="193" t="s">
        <v>88</v>
      </c>
    </row>
    <row r="248" customHeight="1" spans="1:1">
      <c r="A248" s="193" t="s">
        <v>301</v>
      </c>
    </row>
    <row r="249" customHeight="1" spans="1:1">
      <c r="A249" s="193" t="s">
        <v>132</v>
      </c>
    </row>
    <row r="250" customHeight="1" spans="1:1">
      <c r="A250" s="193" t="s">
        <v>529</v>
      </c>
    </row>
    <row r="251" customHeight="1" spans="1:1">
      <c r="A251" s="191" t="s">
        <v>150</v>
      </c>
    </row>
    <row r="252" customHeight="1" spans="1:1">
      <c r="A252" s="191" t="s">
        <v>26</v>
      </c>
    </row>
    <row r="253" customHeight="1" spans="1:1">
      <c r="A253" s="191" t="s">
        <v>101</v>
      </c>
    </row>
    <row r="254" customHeight="1" spans="1:1">
      <c r="A254" s="191" t="s">
        <v>144</v>
      </c>
    </row>
    <row r="255" customHeight="1" spans="1:1">
      <c r="A255" s="191" t="s">
        <v>561</v>
      </c>
    </row>
    <row r="256" customHeight="1" spans="1:1">
      <c r="A256" s="193" t="s">
        <v>635</v>
      </c>
    </row>
    <row r="257" customHeight="1" spans="1:1">
      <c r="A257" s="193" t="s">
        <v>626</v>
      </c>
    </row>
    <row r="258" customHeight="1" spans="1:1">
      <c r="A258" s="193" t="s">
        <v>330</v>
      </c>
    </row>
    <row r="259" customHeight="1" spans="1:1">
      <c r="A259" s="193" t="s">
        <v>636</v>
      </c>
    </row>
    <row r="260" customHeight="1" spans="1:1">
      <c r="A260" s="193" t="s">
        <v>376</v>
      </c>
    </row>
    <row r="261" customHeight="1" spans="1:1">
      <c r="A261" s="193" t="s">
        <v>429</v>
      </c>
    </row>
    <row r="262" customHeight="1" spans="1:1">
      <c r="A262" s="193" t="s">
        <v>618</v>
      </c>
    </row>
    <row r="263" customHeight="1" spans="1:1">
      <c r="A263" s="193" t="s">
        <v>637</v>
      </c>
    </row>
    <row r="264" customHeight="1" spans="1:1">
      <c r="A264" s="195">
        <v>21</v>
      </c>
    </row>
    <row r="265" customHeight="1" spans="1:1">
      <c r="A265" s="193" t="s">
        <v>420</v>
      </c>
    </row>
    <row r="266" customHeight="1" spans="1:1">
      <c r="A266" s="193" t="s">
        <v>143</v>
      </c>
    </row>
    <row r="267" customHeight="1" spans="1:1">
      <c r="A267" s="193" t="s">
        <v>138</v>
      </c>
    </row>
    <row r="268" customHeight="1" spans="1:1">
      <c r="A268" s="193" t="s">
        <v>618</v>
      </c>
    </row>
    <row r="269" customHeight="1" spans="1:1">
      <c r="A269" s="193" t="s">
        <v>152</v>
      </c>
    </row>
    <row r="270" customHeight="1" spans="1:1">
      <c r="A270" s="193" t="s">
        <v>420</v>
      </c>
    </row>
    <row r="271" customHeight="1" spans="1:1">
      <c r="A271" s="191" t="s">
        <v>174</v>
      </c>
    </row>
    <row r="272" customHeight="1" spans="1:1">
      <c r="A272" s="191" t="s">
        <v>131</v>
      </c>
    </row>
    <row r="273" customHeight="1" spans="1:1">
      <c r="A273" s="191" t="s">
        <v>312</v>
      </c>
    </row>
    <row r="274" customHeight="1" spans="1:1">
      <c r="A274" s="191" t="s">
        <v>367</v>
      </c>
    </row>
    <row r="275" customHeight="1" spans="1:1">
      <c r="A275" s="193" t="s">
        <v>368</v>
      </c>
    </row>
    <row r="276" customHeight="1" spans="1:1">
      <c r="A276" s="193" t="s">
        <v>154</v>
      </c>
    </row>
    <row r="277" customHeight="1" spans="1:1">
      <c r="A277" s="193" t="s">
        <v>276</v>
      </c>
    </row>
    <row r="278" customHeight="1" spans="1:1">
      <c r="A278" s="193" t="s">
        <v>247</v>
      </c>
    </row>
    <row r="279" customHeight="1" spans="1:1">
      <c r="A279" s="193" t="s">
        <v>499</v>
      </c>
    </row>
    <row r="280" customHeight="1" spans="1:1">
      <c r="A280" s="193" t="s">
        <v>120</v>
      </c>
    </row>
    <row r="281" customHeight="1" spans="1:1">
      <c r="A281" s="193" t="s">
        <v>141</v>
      </c>
    </row>
    <row r="282" customHeight="1" spans="1:1">
      <c r="A282" s="193" t="s">
        <v>318</v>
      </c>
    </row>
    <row r="283" customHeight="1" spans="1:1">
      <c r="A283" s="193" t="s">
        <v>396</v>
      </c>
    </row>
    <row r="284" customHeight="1" spans="1:1">
      <c r="A284" s="193" t="s">
        <v>250</v>
      </c>
    </row>
    <row r="285" customHeight="1" spans="1:1">
      <c r="A285" s="193" t="s">
        <v>330</v>
      </c>
    </row>
    <row r="286" customHeight="1" spans="1:1">
      <c r="A286" s="193" t="s">
        <v>124</v>
      </c>
    </row>
    <row r="287" customHeight="1" spans="1:1">
      <c r="A287" s="193" t="s">
        <v>118</v>
      </c>
    </row>
    <row r="288" customHeight="1" spans="1:1">
      <c r="A288" s="193" t="s">
        <v>107</v>
      </c>
    </row>
    <row r="289" customHeight="1" spans="1:1">
      <c r="A289" s="193" t="s">
        <v>114</v>
      </c>
    </row>
    <row r="290" customHeight="1" spans="1:1">
      <c r="A290" s="193" t="s">
        <v>414</v>
      </c>
    </row>
    <row r="291" customHeight="1" spans="1:1">
      <c r="A291" s="191" t="s">
        <v>427</v>
      </c>
    </row>
    <row r="292" customHeight="1" spans="1:1">
      <c r="A292" s="191" t="s">
        <v>84</v>
      </c>
    </row>
    <row r="293" customHeight="1" spans="1:1">
      <c r="A293" s="194">
        <v>21</v>
      </c>
    </row>
    <row r="294" customHeight="1" spans="1:1">
      <c r="A294" s="191" t="s">
        <v>394</v>
      </c>
    </row>
    <row r="295" customHeight="1" spans="1:1">
      <c r="A295" s="193" t="s">
        <v>132</v>
      </c>
    </row>
    <row r="296" customHeight="1" spans="1:1">
      <c r="A296" s="193" t="s">
        <v>113</v>
      </c>
    </row>
    <row r="297" customHeight="1" spans="1:1">
      <c r="A297" s="193" t="s">
        <v>84</v>
      </c>
    </row>
    <row r="298" customHeight="1" spans="1:1">
      <c r="A298" s="193" t="s">
        <v>120</v>
      </c>
    </row>
    <row r="299" customHeight="1" spans="1:1">
      <c r="A299" s="193" t="s">
        <v>96</v>
      </c>
    </row>
    <row r="300" customHeight="1" spans="1:1">
      <c r="A300" s="193" t="s">
        <v>123</v>
      </c>
    </row>
    <row r="301" customHeight="1" spans="1:1">
      <c r="A301" s="191" t="s">
        <v>250</v>
      </c>
    </row>
    <row r="302" customHeight="1" spans="1:1">
      <c r="A302" s="191" t="s">
        <v>104</v>
      </c>
    </row>
    <row r="303" customHeight="1" spans="1:1">
      <c r="A303" s="193" t="s">
        <v>618</v>
      </c>
    </row>
    <row r="304" customHeight="1" spans="1:1">
      <c r="A304" s="193" t="s">
        <v>87</v>
      </c>
    </row>
    <row r="305" customHeight="1" spans="1:1">
      <c r="A305" s="193" t="s">
        <v>114</v>
      </c>
    </row>
    <row r="306" customHeight="1" spans="1:1">
      <c r="A306" s="193" t="s">
        <v>118</v>
      </c>
    </row>
    <row r="307" customHeight="1" spans="1:1">
      <c r="A307" s="193" t="s">
        <v>75</v>
      </c>
    </row>
    <row r="308" customHeight="1" spans="1:1">
      <c r="A308" s="193" t="s">
        <v>245</v>
      </c>
    </row>
    <row r="309" customHeight="1" spans="1:1">
      <c r="A309" s="193" t="s">
        <v>396</v>
      </c>
    </row>
    <row r="310" customHeight="1" spans="1:1">
      <c r="A310" s="193" t="s">
        <v>485</v>
      </c>
    </row>
    <row r="311" customHeight="1" spans="1:1">
      <c r="A311" s="193" t="s">
        <v>499</v>
      </c>
    </row>
    <row r="312" customHeight="1" spans="1:1">
      <c r="A312" s="193" t="s">
        <v>318</v>
      </c>
    </row>
    <row r="313" customHeight="1" spans="1:1">
      <c r="A313" s="193" t="s">
        <v>638</v>
      </c>
    </row>
    <row r="314" customHeight="1" spans="1:1">
      <c r="A314" s="193" t="s">
        <v>394</v>
      </c>
    </row>
    <row r="315" customHeight="1" spans="1:1">
      <c r="A315" s="193" t="s">
        <v>420</v>
      </c>
    </row>
    <row r="316" customHeight="1" spans="1:1">
      <c r="A316" s="193" t="s">
        <v>179</v>
      </c>
    </row>
    <row r="317" customHeight="1" spans="1:1">
      <c r="A317" s="193" t="s">
        <v>138</v>
      </c>
    </row>
    <row r="318" customHeight="1" spans="1:1">
      <c r="A318" s="193" t="s">
        <v>83</v>
      </c>
    </row>
    <row r="319" customHeight="1" spans="1:1">
      <c r="A319" s="193" t="s">
        <v>292</v>
      </c>
    </row>
    <row r="320" customHeight="1" spans="1:1">
      <c r="A320" s="193" t="s">
        <v>145</v>
      </c>
    </row>
    <row r="321" customHeight="1" spans="1:1">
      <c r="A321" s="191" t="s">
        <v>143</v>
      </c>
    </row>
    <row r="322" customHeight="1" spans="1:1">
      <c r="A322" s="191" t="s">
        <v>333</v>
      </c>
    </row>
    <row r="323" customHeight="1" spans="1:1">
      <c r="A323" s="194">
        <v>21</v>
      </c>
    </row>
    <row r="324" customHeight="1" spans="1:1">
      <c r="A324" s="191" t="s">
        <v>124</v>
      </c>
    </row>
    <row r="325" customHeight="1" spans="1:1">
      <c r="A325" s="193" t="s">
        <v>255</v>
      </c>
    </row>
    <row r="326" customHeight="1" spans="1:1">
      <c r="A326" s="193" t="s">
        <v>75</v>
      </c>
    </row>
    <row r="327" customHeight="1" spans="1:1">
      <c r="A327" s="193" t="s">
        <v>143</v>
      </c>
    </row>
    <row r="328" customHeight="1" spans="1:1">
      <c r="A328" s="193" t="s">
        <v>104</v>
      </c>
    </row>
    <row r="329" customHeight="1" spans="1:1">
      <c r="A329" s="193" t="s">
        <v>87</v>
      </c>
    </row>
    <row r="330" customHeight="1" spans="1:1">
      <c r="A330" s="193" t="s">
        <v>121</v>
      </c>
    </row>
    <row r="331" customHeight="1" spans="1:1">
      <c r="A331" s="191" t="s">
        <v>285</v>
      </c>
    </row>
    <row r="332" customHeight="1" spans="1:1">
      <c r="A332" s="193" t="s">
        <v>288</v>
      </c>
    </row>
    <row r="333" customHeight="1" spans="1:1">
      <c r="A333" s="193" t="s">
        <v>141</v>
      </c>
    </row>
    <row r="334" customHeight="1" spans="1:1">
      <c r="A334" s="193" t="s">
        <v>132</v>
      </c>
    </row>
    <row r="335" customHeight="1" spans="1:1">
      <c r="A335" s="193" t="s">
        <v>463</v>
      </c>
    </row>
    <row r="336" customHeight="1" spans="1:1">
      <c r="A336" s="193" t="s">
        <v>80</v>
      </c>
    </row>
    <row r="337" customHeight="1" spans="1:1">
      <c r="A337" s="193" t="s">
        <v>130</v>
      </c>
    </row>
    <row r="338" customHeight="1" spans="1:1">
      <c r="A338" s="193" t="s">
        <v>615</v>
      </c>
    </row>
    <row r="339" customHeight="1" spans="1:1">
      <c r="A339" s="193" t="s">
        <v>250</v>
      </c>
    </row>
    <row r="340" customHeight="1" spans="1:1">
      <c r="A340" s="193" t="s">
        <v>154</v>
      </c>
    </row>
    <row r="341" customHeight="1" spans="1:1">
      <c r="A341" s="193" t="s">
        <v>360</v>
      </c>
    </row>
    <row r="342" customHeight="1" spans="1:1">
      <c r="A342" s="193" t="s">
        <v>322</v>
      </c>
    </row>
    <row r="343" customHeight="1" spans="1:1">
      <c r="A343" s="193" t="s">
        <v>253</v>
      </c>
    </row>
    <row r="344" customHeight="1" spans="1:1">
      <c r="A344" s="193" t="s">
        <v>255</v>
      </c>
    </row>
    <row r="345" customHeight="1" spans="1:1">
      <c r="A345" s="193" t="s">
        <v>388</v>
      </c>
    </row>
    <row r="346" customHeight="1" spans="1:1">
      <c r="A346" s="193" t="s">
        <v>118</v>
      </c>
    </row>
    <row r="347" customHeight="1" spans="1:1">
      <c r="A347" s="193" t="s">
        <v>150</v>
      </c>
    </row>
    <row r="348" customHeight="1" spans="1:1">
      <c r="A348" s="193" t="s">
        <v>107</v>
      </c>
    </row>
    <row r="349" customHeight="1" spans="1:1">
      <c r="A349" s="193" t="s">
        <v>124</v>
      </c>
    </row>
    <row r="350" customHeight="1" spans="1:1">
      <c r="A350" s="193" t="s">
        <v>120</v>
      </c>
    </row>
    <row r="351" customHeight="1" spans="1:1">
      <c r="A351" s="191" t="s">
        <v>619</v>
      </c>
    </row>
    <row r="352" customHeight="1" spans="1:1">
      <c r="A352" s="191" t="s">
        <v>96</v>
      </c>
    </row>
    <row r="353" customHeight="1" spans="1:1">
      <c r="A353" s="193" t="s">
        <v>639</v>
      </c>
    </row>
    <row r="354" customHeight="1" spans="1:1">
      <c r="A354" s="193" t="s">
        <v>184</v>
      </c>
    </row>
    <row r="355" customHeight="1" spans="1:1">
      <c r="A355" s="193" t="s">
        <v>394</v>
      </c>
    </row>
    <row r="356" customHeight="1" spans="1:1">
      <c r="A356" s="193" t="s">
        <v>357</v>
      </c>
    </row>
    <row r="357" customHeight="1" spans="1:1">
      <c r="A357" s="193" t="s">
        <v>292</v>
      </c>
    </row>
    <row r="358" customHeight="1" spans="1:1">
      <c r="A358" s="193" t="s">
        <v>339</v>
      </c>
    </row>
    <row r="359" customHeight="1" spans="1:1">
      <c r="A359" s="193" t="s">
        <v>155</v>
      </c>
    </row>
    <row r="360" customHeight="1" spans="1:1">
      <c r="A360" s="193" t="s">
        <v>416</v>
      </c>
    </row>
    <row r="361" customHeight="1" spans="1:1">
      <c r="A361" s="193" t="s">
        <v>427</v>
      </c>
    </row>
    <row r="362" customHeight="1" spans="1:1">
      <c r="A362" s="193" t="s">
        <v>294</v>
      </c>
    </row>
    <row r="363" customHeight="1" spans="1:1">
      <c r="A363" s="195">
        <v>21</v>
      </c>
    </row>
    <row r="364" customHeight="1" spans="1:1">
      <c r="A364" s="193" t="s">
        <v>318</v>
      </c>
    </row>
    <row r="365" customHeight="1" spans="1:1">
      <c r="A365" s="193" t="s">
        <v>577</v>
      </c>
    </row>
    <row r="366" customHeight="1" spans="1:1">
      <c r="A366" s="193" t="s">
        <v>640</v>
      </c>
    </row>
    <row r="367" customHeight="1" spans="1:1">
      <c r="A367" s="193" t="s">
        <v>184</v>
      </c>
    </row>
    <row r="368" customHeight="1" spans="1:1">
      <c r="A368" s="193" t="s">
        <v>87</v>
      </c>
    </row>
    <row r="369" customHeight="1" spans="1:1">
      <c r="A369" s="193" t="s">
        <v>152</v>
      </c>
    </row>
    <row r="370" customHeight="1" spans="1:1">
      <c r="A370" s="193" t="s">
        <v>155</v>
      </c>
    </row>
    <row r="371" customHeight="1" spans="1:1">
      <c r="A371" s="191" t="s">
        <v>80</v>
      </c>
    </row>
    <row r="372" customHeight="1" spans="1:1">
      <c r="A372" s="193" t="s">
        <v>174</v>
      </c>
    </row>
    <row r="373" customHeight="1" spans="1:1">
      <c r="A373" s="193" t="s">
        <v>107</v>
      </c>
    </row>
    <row r="374" customHeight="1" spans="1:1">
      <c r="A374" s="193" t="s">
        <v>247</v>
      </c>
    </row>
    <row r="375" customHeight="1" spans="1:1">
      <c r="A375" s="193" t="s">
        <v>154</v>
      </c>
    </row>
    <row r="376" customHeight="1" spans="1:1">
      <c r="A376" s="193" t="s">
        <v>250</v>
      </c>
    </row>
    <row r="377" customHeight="1" spans="1:1">
      <c r="A377" s="193" t="s">
        <v>108</v>
      </c>
    </row>
    <row r="378" customHeight="1" spans="1:1">
      <c r="A378" s="193" t="s">
        <v>410</v>
      </c>
    </row>
    <row r="379" customHeight="1" spans="1:1">
      <c r="A379" s="193" t="s">
        <v>132</v>
      </c>
    </row>
    <row r="380" customHeight="1" spans="1:1">
      <c r="A380" s="193" t="s">
        <v>357</v>
      </c>
    </row>
    <row r="381" customHeight="1" spans="1:1">
      <c r="A381" s="193" t="s">
        <v>641</v>
      </c>
    </row>
    <row r="382" customHeight="1" spans="1:1">
      <c r="A382" s="193" t="s">
        <v>84</v>
      </c>
    </row>
    <row r="383" customHeight="1" spans="1:1">
      <c r="A383" s="193" t="s">
        <v>104</v>
      </c>
    </row>
    <row r="384" customHeight="1" spans="1:1">
      <c r="A384" s="193" t="s">
        <v>318</v>
      </c>
    </row>
    <row r="385" customHeight="1" spans="1:1">
      <c r="A385" s="193" t="s">
        <v>577</v>
      </c>
    </row>
    <row r="386" customHeight="1" spans="1:1">
      <c r="A386" s="193" t="s">
        <v>642</v>
      </c>
    </row>
    <row r="387" customHeight="1" spans="1:1">
      <c r="A387" s="193" t="s">
        <v>474</v>
      </c>
    </row>
    <row r="388" customHeight="1" spans="1:1">
      <c r="A388" s="193" t="s">
        <v>184</v>
      </c>
    </row>
    <row r="389" customHeight="1" spans="1:1">
      <c r="A389" s="193" t="s">
        <v>546</v>
      </c>
    </row>
    <row r="390" customHeight="1" spans="1:1">
      <c r="A390" s="193" t="s">
        <v>577</v>
      </c>
    </row>
    <row r="391" customHeight="1" spans="1:1">
      <c r="A391" s="191" t="s">
        <v>643</v>
      </c>
    </row>
    <row r="392" customHeight="1" spans="1:1">
      <c r="A392" s="193" t="s">
        <v>516</v>
      </c>
    </row>
    <row r="393" customHeight="1" spans="1:1">
      <c r="A393" s="193" t="s">
        <v>143</v>
      </c>
    </row>
    <row r="394" customHeight="1" spans="1:1">
      <c r="A394" s="193" t="s">
        <v>179</v>
      </c>
    </row>
    <row r="395" customHeight="1" spans="1:1">
      <c r="A395" s="193" t="s">
        <v>157</v>
      </c>
    </row>
    <row r="396" customHeight="1" spans="1:1">
      <c r="A396" s="193" t="s">
        <v>84</v>
      </c>
    </row>
    <row r="397" customHeight="1" spans="1:1">
      <c r="A397" s="193" t="s">
        <v>118</v>
      </c>
    </row>
    <row r="398" customHeight="1" spans="1:1">
      <c r="A398" s="193" t="s">
        <v>87</v>
      </c>
    </row>
    <row r="399" customHeight="1" spans="1:1">
      <c r="A399" s="193" t="s">
        <v>396</v>
      </c>
    </row>
    <row r="400" customHeight="1" spans="1:1">
      <c r="A400" s="193" t="s">
        <v>457</v>
      </c>
    </row>
    <row r="401" customHeight="1" spans="1:1">
      <c r="A401" s="191" t="s">
        <v>107</v>
      </c>
    </row>
    <row r="402" customHeight="1" spans="1:1">
      <c r="A402" s="193" t="s">
        <v>104</v>
      </c>
    </row>
    <row r="403" customHeight="1" spans="1:1">
      <c r="A403" s="193" t="s">
        <v>132</v>
      </c>
    </row>
    <row r="404" customHeight="1" spans="1:1">
      <c r="A404" s="193" t="s">
        <v>155</v>
      </c>
    </row>
    <row r="405" customHeight="1" spans="1:1">
      <c r="A405" s="193" t="s">
        <v>514</v>
      </c>
    </row>
    <row r="406" customHeight="1" spans="1:1">
      <c r="A406" s="193" t="s">
        <v>281</v>
      </c>
    </row>
    <row r="407" customHeight="1" spans="1:1">
      <c r="A407" s="193" t="s">
        <v>150</v>
      </c>
    </row>
    <row r="408" customHeight="1" spans="1:1">
      <c r="A408" s="193" t="s">
        <v>318</v>
      </c>
    </row>
    <row r="409" customHeight="1" spans="1:1">
      <c r="A409" s="193" t="s">
        <v>184</v>
      </c>
    </row>
    <row r="410" customHeight="1" spans="1:1">
      <c r="A410" s="193" t="s">
        <v>138</v>
      </c>
    </row>
    <row r="411" customHeight="1" spans="1:1">
      <c r="A411" s="193" t="s">
        <v>130</v>
      </c>
    </row>
    <row r="412" customHeight="1" spans="1:1">
      <c r="A412" s="193" t="s">
        <v>179</v>
      </c>
    </row>
    <row r="413" customHeight="1" spans="1:1">
      <c r="A413" s="195">
        <v>21</v>
      </c>
    </row>
    <row r="414" customHeight="1" spans="1:1">
      <c r="A414" s="193" t="s">
        <v>114</v>
      </c>
    </row>
    <row r="415" customHeight="1" spans="1:1">
      <c r="A415" s="193" t="s">
        <v>157</v>
      </c>
    </row>
    <row r="416" customHeight="1" spans="1:1">
      <c r="A416" s="193" t="s">
        <v>80</v>
      </c>
    </row>
    <row r="417" customHeight="1" spans="1:1">
      <c r="A417" s="193" t="s">
        <v>113</v>
      </c>
    </row>
    <row r="418" customHeight="1" spans="1:1">
      <c r="A418" s="193" t="s">
        <v>465</v>
      </c>
    </row>
    <row r="419" customHeight="1" spans="1:1">
      <c r="A419" s="193" t="s">
        <v>330</v>
      </c>
    </row>
    <row r="420" customHeight="1" spans="1:1">
      <c r="A420" s="193" t="s">
        <v>489</v>
      </c>
    </row>
    <row r="421" customHeight="1" spans="1:1">
      <c r="A421" s="191" t="s">
        <v>96</v>
      </c>
    </row>
    <row r="422" customHeight="1" spans="1:1">
      <c r="A422" s="191" t="s">
        <v>100</v>
      </c>
    </row>
    <row r="423" customHeight="1" spans="1:1">
      <c r="A423" s="193" t="s">
        <v>247</v>
      </c>
    </row>
    <row r="424" customHeight="1" spans="1:1">
      <c r="A424" s="191" t="s">
        <v>394</v>
      </c>
    </row>
    <row r="425" customHeight="1" spans="1:1">
      <c r="A425" s="191" t="s">
        <v>170</v>
      </c>
    </row>
    <row r="426" customHeight="1" spans="1:1">
      <c r="A426" s="191" t="s">
        <v>276</v>
      </c>
    </row>
    <row r="427" customHeight="1" spans="1:1">
      <c r="A427" s="191" t="s">
        <v>644</v>
      </c>
    </row>
    <row r="428" customHeight="1" spans="1:1">
      <c r="A428" s="191" t="s">
        <v>645</v>
      </c>
    </row>
    <row r="429" customHeight="1" spans="1:1">
      <c r="A429" s="191" t="s">
        <v>151</v>
      </c>
    </row>
    <row r="430" customHeight="1" spans="1:1">
      <c r="A430" s="191" t="s">
        <v>132</v>
      </c>
    </row>
    <row r="431" customHeight="1" spans="1:1">
      <c r="A431" s="191" t="s">
        <v>83</v>
      </c>
    </row>
    <row r="432" customHeight="1" spans="1:1">
      <c r="A432" s="191" t="s">
        <v>179</v>
      </c>
    </row>
    <row r="433" customHeight="1" spans="1:1">
      <c r="A433" s="191" t="s">
        <v>646</v>
      </c>
    </row>
    <row r="434" customHeight="1" spans="1:1">
      <c r="A434" s="191" t="s">
        <v>120</v>
      </c>
    </row>
    <row r="435" customHeight="1" spans="1:1">
      <c r="A435" s="191" t="s">
        <v>408</v>
      </c>
    </row>
    <row r="436" customHeight="1" spans="1:1">
      <c r="A436" s="191" t="s">
        <v>647</v>
      </c>
    </row>
    <row r="437" customHeight="1" spans="1:1">
      <c r="A437" s="191" t="s">
        <v>367</v>
      </c>
    </row>
    <row r="438" customHeight="1" spans="1:1">
      <c r="A438" s="191" t="s">
        <v>328</v>
      </c>
    </row>
    <row r="439" customHeight="1" spans="1:1">
      <c r="A439" s="191" t="s">
        <v>253</v>
      </c>
    </row>
    <row r="440" customHeight="1" spans="1:1">
      <c r="A440" s="191" t="s">
        <v>180</v>
      </c>
    </row>
    <row r="441" customHeight="1" spans="1:1">
      <c r="A441" s="191" t="s">
        <v>84</v>
      </c>
    </row>
    <row r="442" customHeight="1" spans="1:1">
      <c r="A442" s="191" t="s">
        <v>124</v>
      </c>
    </row>
    <row r="443" customHeight="1" spans="1:1">
      <c r="A443" s="194">
        <v>21</v>
      </c>
    </row>
    <row r="444" customHeight="1" spans="1:1">
      <c r="A444" s="191" t="s">
        <v>648</v>
      </c>
    </row>
    <row r="445" customHeight="1" spans="1:1">
      <c r="A445" s="191" t="s">
        <v>376</v>
      </c>
    </row>
    <row r="446" customHeight="1" spans="1:1">
      <c r="A446" s="191" t="s">
        <v>138</v>
      </c>
    </row>
    <row r="447" customHeight="1" spans="1:1">
      <c r="A447" s="191" t="s">
        <v>87</v>
      </c>
    </row>
    <row r="448" customHeight="1" spans="1:1">
      <c r="A448" s="191" t="s">
        <v>649</v>
      </c>
    </row>
    <row r="449" customHeight="1" spans="1:1">
      <c r="A449" s="191" t="s">
        <v>650</v>
      </c>
    </row>
    <row r="450" customHeight="1" spans="1:1">
      <c r="A450" s="191" t="s">
        <v>420</v>
      </c>
    </row>
    <row r="451" customHeight="1" spans="1:1">
      <c r="A451" s="191" t="s">
        <v>618</v>
      </c>
    </row>
    <row r="452" customHeight="1" spans="1:1">
      <c r="A452" s="191" t="s">
        <v>362</v>
      </c>
    </row>
    <row r="453" customHeight="1" spans="1:1">
      <c r="A453" s="191" t="s">
        <v>339</v>
      </c>
    </row>
    <row r="454" customHeight="1" spans="1:1">
      <c r="A454" s="191" t="s">
        <v>499</v>
      </c>
    </row>
    <row r="455" customHeight="1" spans="1:1">
      <c r="A455" s="191" t="s">
        <v>418</v>
      </c>
    </row>
    <row r="456" customHeight="1" spans="1:1">
      <c r="A456" s="191" t="s">
        <v>626</v>
      </c>
    </row>
    <row r="457" customHeight="1" spans="1:1">
      <c r="A457" s="191" t="s">
        <v>312</v>
      </c>
    </row>
    <row r="458" customHeight="1" spans="1:1">
      <c r="A458" s="191" t="s">
        <v>651</v>
      </c>
    </row>
    <row r="459" customHeight="1" spans="1:1">
      <c r="A459" s="191" t="s">
        <v>378</v>
      </c>
    </row>
    <row r="460" customHeight="1" spans="1:1">
      <c r="A460" s="191" t="s">
        <v>556</v>
      </c>
    </row>
    <row r="461" customHeight="1" spans="1:1">
      <c r="A461" s="191" t="s">
        <v>80</v>
      </c>
    </row>
    <row r="462" customHeight="1" spans="1:1">
      <c r="A462" s="191" t="s">
        <v>104</v>
      </c>
    </row>
    <row r="463" customHeight="1" spans="1:1">
      <c r="A463" s="191" t="s">
        <v>330</v>
      </c>
    </row>
    <row r="464" customHeight="1" spans="1:1">
      <c r="A464" s="191" t="s">
        <v>652</v>
      </c>
    </row>
    <row r="465" customHeight="1" spans="1:1">
      <c r="A465" s="191" t="s">
        <v>653</v>
      </c>
    </row>
    <row r="466" customHeight="1" spans="1:1">
      <c r="A466" s="191" t="s">
        <v>616</v>
      </c>
    </row>
    <row r="467" customHeight="1" spans="1:1">
      <c r="A467" s="191" t="s">
        <v>654</v>
      </c>
    </row>
    <row r="468" customHeight="1" spans="1:1">
      <c r="A468" s="191" t="s">
        <v>309</v>
      </c>
    </row>
    <row r="469" customHeight="1" spans="1:1">
      <c r="A469" s="191" t="s">
        <v>368</v>
      </c>
    </row>
    <row r="470" customHeight="1" spans="1:1">
      <c r="A470" s="191" t="s">
        <v>427</v>
      </c>
    </row>
    <row r="471" customHeight="1" spans="1:1">
      <c r="A471" s="191" t="s">
        <v>631</v>
      </c>
    </row>
    <row r="472" customHeight="1" spans="1:1">
      <c r="A472" s="191" t="s">
        <v>245</v>
      </c>
    </row>
    <row r="473" customHeight="1" spans="1:1">
      <c r="A473" s="191" t="s">
        <v>340</v>
      </c>
    </row>
    <row r="474" customHeight="1" spans="1:1">
      <c r="A474" s="191" t="s">
        <v>460</v>
      </c>
    </row>
    <row r="475" customHeight="1" spans="1:1">
      <c r="A475" s="191" t="s">
        <v>365</v>
      </c>
    </row>
    <row r="476" customHeight="1" spans="1:1">
      <c r="A476" s="191" t="s">
        <v>300</v>
      </c>
    </row>
    <row r="477" customHeight="1" spans="1:1">
      <c r="A477" s="191" t="s">
        <v>638</v>
      </c>
    </row>
    <row r="478" customHeight="1" spans="1:1">
      <c r="A478" s="191" t="s">
        <v>406</v>
      </c>
    </row>
    <row r="479" customHeight="1" spans="1:1">
      <c r="A479" s="191" t="s">
        <v>416</v>
      </c>
    </row>
    <row r="480" customHeight="1" spans="1:1">
      <c r="A480" s="191" t="s">
        <v>445</v>
      </c>
    </row>
    <row r="481" customHeight="1" spans="1:1">
      <c r="A481" s="191" t="s">
        <v>101</v>
      </c>
    </row>
    <row r="482" customHeight="1" spans="1:1">
      <c r="A482" s="191" t="s">
        <v>150</v>
      </c>
    </row>
    <row r="483" customHeight="1" spans="1:1">
      <c r="A483" s="191" t="s">
        <v>113</v>
      </c>
    </row>
    <row r="484" customHeight="1" spans="1:1">
      <c r="A484" s="191" t="s">
        <v>396</v>
      </c>
    </row>
    <row r="485" customHeight="1" spans="1:1">
      <c r="A485" s="191" t="s">
        <v>123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拍卖规则"/>
  <dimension ref="A1:I200"/>
  <sheetViews>
    <sheetView workbookViewId="0">
      <selection activeCell="A1" sqref="A1"/>
    </sheetView>
  </sheetViews>
  <sheetFormatPr defaultColWidth="14" defaultRowHeight="18" customHeight="1"/>
  <cols>
    <col min="1" max="1" width="94.421875" style="3" customWidth="1"/>
    <col min="2" max="8" width="14.828125" style="3" customWidth="1"/>
    <col min="9" max="9" width="15.78125" style="3" customWidth="1"/>
    <col min="10" max="26" width="14.828125" style="3" customWidth="1"/>
  </cols>
  <sheetData>
    <row r="1" ht="28.5" customHeight="1" spans="1:7">
      <c r="A1"/>
      <c r="B1"/>
      <c r="C1"/>
      <c r="D1"/>
      <c r="E1"/>
      <c r="F1"/>
      <c r="G1"/>
    </row>
    <row r="2" ht="28.5" customHeight="1" spans="1:9">
      <c r="A2" s="190" t="s">
        <v>655</v>
      </c>
      <c r="B2"/>
      <c r="C2"/>
      <c r="D2"/>
      <c r="E2"/>
      <c r="F2"/>
      <c r="G2"/>
      <c r="H2"/>
      <c r="I2"/>
    </row>
    <row r="3" ht="28.5" customHeight="1" spans="2:9">
      <c r="B3"/>
      <c r="C3"/>
      <c r="D3"/>
      <c r="E3"/>
      <c r="F3"/>
      <c r="G3"/>
      <c r="H3"/>
      <c r="I3"/>
    </row>
    <row r="4" ht="28.5" customHeight="1" spans="2:9">
      <c r="B4"/>
      <c r="C4"/>
      <c r="D4"/>
      <c r="E4"/>
      <c r="F4"/>
      <c r="G4"/>
      <c r="H4"/>
      <c r="I4"/>
    </row>
    <row r="5" ht="28.5" customHeight="1" spans="2:9">
      <c r="B5"/>
      <c r="C5"/>
      <c r="D5"/>
      <c r="E5"/>
      <c r="F5"/>
      <c r="G5"/>
      <c r="H5"/>
      <c r="I5"/>
    </row>
    <row r="6" ht="28.5" customHeight="1" spans="2:9">
      <c r="B6"/>
      <c r="C6"/>
      <c r="D6"/>
      <c r="E6"/>
      <c r="F6"/>
      <c r="G6"/>
      <c r="H6"/>
      <c r="I6"/>
    </row>
    <row r="7" ht="28.5" customHeight="1" spans="2:9">
      <c r="B7"/>
      <c r="C7"/>
      <c r="D7"/>
      <c r="E7"/>
      <c r="F7"/>
      <c r="G7"/>
      <c r="H7"/>
      <c r="I7"/>
    </row>
    <row r="8" ht="28.5" customHeight="1" spans="2:9">
      <c r="B8"/>
      <c r="C8"/>
      <c r="D8"/>
      <c r="E8"/>
      <c r="F8"/>
      <c r="G8"/>
      <c r="H8"/>
      <c r="I8"/>
    </row>
    <row r="9" ht="28.5" customHeight="1" spans="2:9">
      <c r="B9"/>
      <c r="C9"/>
      <c r="D9"/>
      <c r="E9"/>
      <c r="F9"/>
      <c r="G9"/>
      <c r="H9"/>
      <c r="I9"/>
    </row>
    <row r="10" ht="28.5" customHeight="1" spans="2:9">
      <c r="B10"/>
      <c r="C10"/>
      <c r="D10"/>
      <c r="E10"/>
      <c r="F10"/>
      <c r="G10"/>
      <c r="H10"/>
      <c r="I10"/>
    </row>
    <row r="11" ht="28.5" customHeight="1" spans="2:9">
      <c r="B11"/>
      <c r="C11"/>
      <c r="D11"/>
      <c r="E11"/>
      <c r="F11"/>
      <c r="G11"/>
      <c r="H11"/>
      <c r="I11"/>
    </row>
    <row r="12" ht="28.5" customHeight="1" spans="2:9">
      <c r="B12"/>
      <c r="C12"/>
      <c r="D12"/>
      <c r="E12"/>
      <c r="F12"/>
      <c r="G12"/>
      <c r="H12"/>
      <c r="I12"/>
    </row>
    <row r="13" ht="28.5" customHeight="1" spans="2:9">
      <c r="B13"/>
      <c r="C13"/>
      <c r="D13"/>
      <c r="E13"/>
      <c r="F13"/>
      <c r="G13"/>
      <c r="H13"/>
      <c r="I13"/>
    </row>
    <row r="14" ht="28.5" customHeight="1" spans="2:9">
      <c r="B14"/>
      <c r="C14"/>
      <c r="D14"/>
      <c r="E14"/>
      <c r="F14"/>
      <c r="G14"/>
      <c r="H14"/>
      <c r="I14"/>
    </row>
    <row r="15" ht="28.5" customHeight="1" spans="1:9">
      <c r="A15" s="3" t="s">
        <v>656</v>
      </c>
      <c r="B15"/>
      <c r="C15"/>
      <c r="D15"/>
      <c r="E15"/>
      <c r="F15"/>
      <c r="G15"/>
      <c r="H15"/>
      <c r="I15"/>
    </row>
    <row r="16" ht="28.5" customHeight="1" spans="2:9">
      <c r="B16"/>
      <c r="C16"/>
      <c r="D16"/>
      <c r="E16"/>
      <c r="F16"/>
      <c r="G16"/>
      <c r="H16"/>
      <c r="I16"/>
    </row>
    <row r="17" ht="28.5" customHeight="1" spans="2:9">
      <c r="B17"/>
      <c r="C17"/>
      <c r="D17"/>
      <c r="E17"/>
      <c r="F17"/>
      <c r="G17"/>
      <c r="H17"/>
      <c r="I17"/>
    </row>
    <row r="18" ht="28.5" customHeight="1" spans="2:9">
      <c r="B18"/>
      <c r="C18"/>
      <c r="D18"/>
      <c r="E18"/>
      <c r="F18"/>
      <c r="G18"/>
      <c r="H18"/>
      <c r="I18"/>
    </row>
    <row r="19" ht="28.5" customHeight="1" spans="2:9">
      <c r="B19"/>
      <c r="C19"/>
      <c r="D19"/>
      <c r="E19"/>
      <c r="F19"/>
      <c r="G19"/>
      <c r="H19"/>
      <c r="I19"/>
    </row>
    <row r="20" ht="28.5" customHeight="1" spans="2:9">
      <c r="B20"/>
      <c r="C20"/>
      <c r="D20"/>
      <c r="E20"/>
      <c r="F20"/>
      <c r="G20"/>
      <c r="H20"/>
      <c r="I20"/>
    </row>
    <row r="21" ht="28.5" customHeight="1" spans="2:9">
      <c r="B21"/>
      <c r="C21"/>
      <c r="D21"/>
      <c r="E21"/>
      <c r="F21"/>
      <c r="G21"/>
      <c r="H21"/>
      <c r="I21"/>
    </row>
    <row r="22" ht="28.5" customHeight="1" spans="2:9">
      <c r="B22"/>
      <c r="C22"/>
      <c r="D22"/>
      <c r="E22"/>
      <c r="F22"/>
      <c r="G22"/>
      <c r="H22"/>
      <c r="I22"/>
    </row>
    <row r="23" ht="28.5" customHeight="1"/>
    <row r="24" ht="28.5" customHeight="1"/>
    <row r="25" ht="28.5" customHeight="1"/>
    <row r="26" ht="28.5" customHeight="1"/>
    <row r="27" ht="28.5" customHeight="1"/>
    <row r="28" ht="28.5" customHeight="1"/>
    <row r="29" ht="28.5" customHeight="1"/>
    <row r="30" ht="28.5" customHeight="1"/>
    <row r="31" ht="28.5" customHeight="1"/>
    <row r="32" ht="28.5" customHeight="1"/>
    <row r="33" ht="28.5" customHeight="1"/>
    <row r="34" ht="28.5" customHeight="1"/>
    <row r="35" ht="28.5" customHeight="1"/>
    <row r="36" ht="28.5" customHeight="1"/>
    <row r="37" ht="28.5" customHeight="1"/>
    <row r="38" ht="28.5" customHeight="1"/>
    <row r="39" ht="28.5" customHeight="1"/>
    <row r="40" ht="28.5" customHeight="1"/>
    <row r="41" ht="28.5" customHeight="1"/>
    <row r="42" ht="28.5" customHeight="1"/>
    <row r="43" ht="28.5" customHeight="1"/>
    <row r="44" ht="28.5" customHeight="1"/>
    <row r="45" ht="28.5" customHeight="1"/>
    <row r="46" ht="28.5" customHeight="1"/>
    <row r="47" ht="28.5" customHeight="1"/>
    <row r="48" ht="28.5" customHeight="1"/>
    <row r="49" ht="28.5" customHeight="1"/>
    <row r="50" ht="28.5" customHeight="1"/>
    <row r="51" ht="28.5" customHeight="1"/>
    <row r="52" ht="28.5" customHeight="1"/>
    <row r="53" ht="28.5" customHeight="1"/>
    <row r="54" ht="28.5" customHeight="1"/>
    <row r="55" ht="28.5" customHeight="1"/>
    <row r="56" ht="28.5" customHeight="1"/>
    <row r="57" ht="28.5" customHeight="1"/>
    <row r="58" ht="28.5" customHeight="1"/>
    <row r="59" ht="28.5" customHeight="1"/>
    <row r="60" ht="28.5" customHeight="1"/>
    <row r="61" ht="28.5" customHeight="1"/>
    <row r="62" ht="28.5" customHeight="1"/>
    <row r="63" ht="28.5" customHeight="1"/>
    <row r="64" ht="28.5" customHeight="1"/>
    <row r="65" ht="28.5" customHeight="1"/>
    <row r="66" ht="28.5" customHeight="1"/>
    <row r="67" ht="28.5" customHeight="1"/>
    <row r="68" ht="28.5" customHeight="1"/>
    <row r="69" ht="28.5" customHeight="1"/>
    <row r="70" ht="28.5" customHeight="1"/>
    <row r="71" ht="28.5" customHeight="1"/>
    <row r="72" ht="28.5" customHeight="1"/>
    <row r="73" ht="28.5" customHeight="1"/>
    <row r="74" ht="28.5" customHeight="1"/>
    <row r="75" ht="28.5" customHeight="1"/>
    <row r="76" ht="28.5" customHeight="1"/>
    <row r="77" ht="28.5" customHeight="1"/>
    <row r="78" ht="28.5" customHeight="1"/>
    <row r="79" ht="28.5" customHeight="1"/>
    <row r="80" ht="28.5" customHeight="1"/>
    <row r="81" ht="28.5" customHeight="1"/>
    <row r="82" ht="28.5" customHeight="1"/>
    <row r="83" ht="28.5" customHeight="1"/>
    <row r="84" ht="28.5" customHeight="1"/>
    <row r="85" ht="28.5" customHeight="1"/>
    <row r="86" ht="28.5" customHeight="1"/>
    <row r="87" ht="28.5" customHeight="1"/>
    <row r="88" ht="28.5" customHeight="1"/>
    <row r="89" ht="28.5" customHeight="1"/>
    <row r="90" ht="28.5" customHeight="1"/>
    <row r="91" ht="28.5" customHeight="1"/>
    <row r="92" ht="28.5" customHeight="1"/>
    <row r="93" ht="28.5" customHeight="1"/>
    <row r="94" ht="28.5" customHeight="1"/>
    <row r="95" ht="28.5" customHeight="1"/>
    <row r="96" ht="28.5" customHeight="1"/>
    <row r="97" ht="28.5" customHeight="1"/>
    <row r="98" ht="28.5" customHeight="1"/>
    <row r="99" ht="28.5" customHeight="1"/>
    <row r="100" ht="28.5" customHeight="1"/>
    <row r="101" ht="28.5" customHeight="1"/>
    <row r="102" ht="28.5" customHeight="1"/>
    <row r="103" ht="28.5" customHeight="1"/>
    <row r="104" ht="28.5" customHeight="1"/>
    <row r="105" ht="28.5" customHeight="1"/>
    <row r="106" ht="28.5" customHeight="1"/>
    <row r="107" ht="28.5" customHeight="1"/>
    <row r="108" ht="28.5" customHeight="1"/>
    <row r="109" ht="28.5" customHeight="1"/>
    <row r="110" ht="28.5" customHeight="1"/>
    <row r="111" ht="28.5" customHeight="1"/>
    <row r="112" ht="28.5" customHeight="1"/>
    <row r="113" ht="28.5" customHeight="1"/>
    <row r="114" ht="28.5" customHeight="1"/>
    <row r="115" ht="28.5" customHeight="1"/>
    <row r="116" ht="28.5" customHeight="1"/>
    <row r="117" ht="28.5" customHeight="1"/>
    <row r="118" ht="28.5" customHeight="1"/>
    <row r="119" ht="28.5" customHeight="1"/>
    <row r="120" ht="28.5" customHeight="1"/>
    <row r="121" ht="28.5" customHeight="1"/>
    <row r="122" ht="28.5" customHeight="1"/>
    <row r="123" ht="28.5" customHeight="1"/>
    <row r="124" ht="28.5" customHeight="1"/>
    <row r="125" ht="28.5" customHeight="1"/>
    <row r="126" ht="28.5" customHeight="1"/>
    <row r="127" ht="28.5" customHeight="1"/>
    <row r="128" ht="28.5" customHeight="1"/>
    <row r="129" ht="28.5" customHeight="1"/>
    <row r="130" ht="28.5" customHeight="1"/>
    <row r="131" ht="28.5" customHeight="1"/>
    <row r="132" ht="28.5" customHeight="1"/>
    <row r="133" ht="28.5" customHeight="1"/>
    <row r="134" ht="28.5" customHeight="1"/>
    <row r="135" ht="28.5" customHeight="1"/>
    <row r="136" ht="28.5" customHeight="1"/>
    <row r="137" ht="28.5" customHeight="1"/>
    <row r="138" ht="28.5" customHeight="1"/>
    <row r="139" ht="28.5" customHeight="1"/>
    <row r="140" ht="28.5" customHeight="1"/>
    <row r="141" ht="28.5" customHeight="1"/>
    <row r="142" ht="28.5" customHeight="1"/>
    <row r="143" ht="28.5" customHeight="1"/>
    <row r="144" ht="28.5" customHeight="1"/>
    <row r="145" ht="28.5" customHeight="1"/>
    <row r="146" ht="28.5" customHeight="1"/>
    <row r="147" ht="28.5" customHeight="1"/>
    <row r="148" ht="28.5" customHeight="1"/>
    <row r="149" ht="28.5" customHeight="1"/>
    <row r="150" ht="28.5" customHeight="1"/>
    <row r="151" ht="28.5" customHeight="1"/>
    <row r="152" ht="28.5" customHeight="1"/>
    <row r="153" ht="28.5" customHeight="1"/>
    <row r="154" ht="28.5" customHeight="1"/>
    <row r="155" ht="28.5" customHeight="1"/>
    <row r="156" ht="28.5" customHeight="1"/>
    <row r="157" ht="28.5" customHeight="1"/>
    <row r="158" ht="28.5" customHeight="1"/>
    <row r="159" ht="28.5" customHeight="1"/>
    <row r="160" ht="28.5" customHeight="1"/>
    <row r="161" ht="28.5" customHeight="1"/>
    <row r="162" ht="28.5" customHeight="1"/>
    <row r="163" ht="28.5" customHeight="1"/>
    <row r="164" ht="28.5" customHeight="1"/>
    <row r="165" ht="28.5" customHeight="1"/>
    <row r="166" ht="28.5" customHeight="1"/>
    <row r="167" ht="28.5" customHeight="1"/>
    <row r="168" ht="28.5" customHeight="1"/>
    <row r="169" ht="28.5" customHeight="1"/>
    <row r="170" ht="28.5" customHeight="1"/>
    <row r="171" ht="28.5" customHeight="1"/>
    <row r="172" ht="28.5" customHeight="1"/>
    <row r="173" ht="28.5" customHeight="1"/>
    <row r="174" ht="28.5" customHeight="1"/>
    <row r="175" ht="28.5" customHeight="1"/>
    <row r="176" ht="28.5" customHeight="1"/>
    <row r="177" ht="28.5" customHeight="1"/>
    <row r="178" ht="28.5" customHeight="1"/>
    <row r="179" ht="28.5" customHeight="1"/>
    <row r="180" ht="28.5" customHeight="1"/>
    <row r="181" ht="28.5" customHeight="1"/>
    <row r="182" ht="28.5" customHeight="1"/>
    <row r="183" ht="28.5" customHeight="1"/>
    <row r="184" ht="28.5" customHeight="1"/>
    <row r="185" ht="28.5" customHeight="1"/>
    <row r="186" ht="28.5" customHeight="1"/>
    <row r="187" ht="28.5" customHeight="1"/>
    <row r="188" ht="28.5" customHeight="1"/>
    <row r="189" ht="28.5" customHeight="1"/>
    <row r="190" ht="28.5" customHeight="1"/>
    <row r="191" ht="28.5" customHeight="1"/>
    <row r="192" ht="28.5" customHeight="1"/>
    <row r="193" ht="28.5" customHeight="1"/>
    <row r="194" ht="28.5" customHeight="1"/>
    <row r="195" ht="28.5" customHeight="1"/>
    <row r="196" ht="28.5" customHeight="1"/>
    <row r="197" ht="28.5" customHeight="1"/>
    <row r="198" ht="28.5" customHeight="1"/>
    <row r="199" ht="28.5" customHeight="1"/>
    <row r="200" ht="28.5" customHeight="1"/>
  </sheetData>
  <mergeCells count="1">
    <mergeCell ref="A2:A1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为爱发电记录表">
    <tabColor rgb="FFFF9C99"/>
  </sheetPr>
  <dimension ref="A1:E208"/>
  <sheetViews>
    <sheetView workbookViewId="0">
      <selection activeCell="A1" sqref="A1:D1"/>
    </sheetView>
  </sheetViews>
  <sheetFormatPr defaultColWidth="14" defaultRowHeight="18" customHeight="1" outlineLevelCol="4"/>
  <cols>
    <col min="1" max="1" width="13.671875" style="3"/>
    <col min="2" max="2" width="47.2109375" style="3" customWidth="1"/>
    <col min="3" max="3" width="23.6015625" style="3" customWidth="1"/>
    <col min="4" max="4" width="13.671875" style="3"/>
    <col min="5" max="5" width="53.28125" style="3" customWidth="1"/>
    <col min="6" max="27" width="13.671875" style="3"/>
  </cols>
  <sheetData>
    <row r="1" ht="30" customHeight="1" spans="1:4">
      <c r="A1" s="178" t="s">
        <v>657</v>
      </c>
      <c r="B1" s="41"/>
      <c r="C1" s="178"/>
      <c r="D1" s="41"/>
    </row>
    <row r="2" ht="30" customHeight="1" spans="1:4">
      <c r="A2" s="82" t="s">
        <v>658</v>
      </c>
      <c r="B2" s="82" t="s">
        <v>659</v>
      </c>
      <c r="C2" s="82" t="s">
        <v>660</v>
      </c>
      <c r="D2" s="82" t="s">
        <v>661</v>
      </c>
    </row>
    <row r="3" ht="30" customHeight="1" spans="1:4">
      <c r="A3" s="82" t="s">
        <v>662</v>
      </c>
      <c r="B3" s="91" t="s">
        <v>663</v>
      </c>
      <c r="C3" s="91" t="s">
        <v>601</v>
      </c>
      <c r="D3" s="91"/>
    </row>
    <row r="4" ht="30" customHeight="1" spans="1:4">
      <c r="A4" s="179" t="s">
        <v>664</v>
      </c>
      <c r="B4" s="91" t="s">
        <v>665</v>
      </c>
      <c r="C4" s="91" t="s">
        <v>666</v>
      </c>
      <c r="D4" s="91" t="s">
        <v>667</v>
      </c>
    </row>
    <row r="5" ht="30" customHeight="1" spans="1:4">
      <c r="A5" s="105"/>
      <c r="B5" s="91" t="s">
        <v>668</v>
      </c>
      <c r="C5" s="91" t="s">
        <v>669</v>
      </c>
      <c r="D5" s="91" t="s">
        <v>228</v>
      </c>
    </row>
    <row r="6" ht="30" customHeight="1" spans="1:4">
      <c r="A6" s="105"/>
      <c r="B6" s="180" t="s">
        <v>670</v>
      </c>
      <c r="C6" s="91" t="s">
        <v>671</v>
      </c>
      <c r="D6" s="91" t="s">
        <v>80</v>
      </c>
    </row>
    <row r="7" ht="30" customHeight="1" spans="1:4">
      <c r="A7" s="105"/>
      <c r="B7" s="180" t="s">
        <v>672</v>
      </c>
      <c r="C7" s="91" t="s">
        <v>673</v>
      </c>
      <c r="D7" s="91" t="s">
        <v>99</v>
      </c>
    </row>
    <row r="8" ht="30" customHeight="1" spans="1:4">
      <c r="A8" s="105"/>
      <c r="B8" s="180" t="s">
        <v>672</v>
      </c>
      <c r="C8" s="91" t="s">
        <v>674</v>
      </c>
      <c r="D8" s="68"/>
    </row>
    <row r="9" ht="30" customHeight="1" spans="1:4">
      <c r="A9" s="105"/>
      <c r="B9" s="181">
        <v>100</v>
      </c>
      <c r="C9" s="182"/>
      <c r="D9" s="77"/>
    </row>
    <row r="10" ht="30" customHeight="1" spans="1:4">
      <c r="A10" s="106"/>
      <c r="B10" s="181" t="s">
        <v>675</v>
      </c>
      <c r="C10" s="182">
        <v>3.6</v>
      </c>
      <c r="D10" s="77"/>
    </row>
    <row r="11" ht="30" customHeight="1" spans="1:4">
      <c r="A11" s="82" t="s">
        <v>628</v>
      </c>
      <c r="B11" s="180">
        <v>50</v>
      </c>
      <c r="C11" s="91" t="s">
        <v>676</v>
      </c>
      <c r="D11" s="91" t="s">
        <v>677</v>
      </c>
    </row>
    <row r="12" ht="30" customHeight="1" spans="1:4">
      <c r="A12" s="41"/>
      <c r="B12" s="180">
        <v>100</v>
      </c>
      <c r="C12" s="91" t="s">
        <v>678</v>
      </c>
      <c r="D12" s="91" t="s">
        <v>677</v>
      </c>
    </row>
    <row r="13" ht="30" customHeight="1" spans="1:4">
      <c r="A13" s="179" t="s">
        <v>228</v>
      </c>
      <c r="B13" s="181">
        <v>100</v>
      </c>
      <c r="C13" s="182" t="s">
        <v>679</v>
      </c>
      <c r="D13" s="182" t="s">
        <v>677</v>
      </c>
    </row>
    <row r="14" ht="30" customHeight="1" spans="1:4">
      <c r="A14" s="179" t="s">
        <v>394</v>
      </c>
      <c r="B14" s="181">
        <v>100</v>
      </c>
      <c r="C14" s="182" t="s">
        <v>680</v>
      </c>
      <c r="D14" s="182"/>
    </row>
    <row r="15" ht="30" customHeight="1" spans="1:4">
      <c r="A15" s="77" t="s">
        <v>80</v>
      </c>
      <c r="B15" s="180">
        <v>100</v>
      </c>
      <c r="C15" s="91" t="s">
        <v>681</v>
      </c>
      <c r="D15" s="91" t="s">
        <v>677</v>
      </c>
    </row>
    <row r="16" ht="30" customHeight="1" spans="1:4">
      <c r="A16" s="82" t="s">
        <v>682</v>
      </c>
      <c r="B16" s="180">
        <v>100</v>
      </c>
      <c r="C16" s="91" t="s">
        <v>683</v>
      </c>
      <c r="D16" s="91"/>
    </row>
    <row r="17" ht="30" customHeight="1" spans="1:4">
      <c r="A17" s="179" t="s">
        <v>638</v>
      </c>
      <c r="B17" s="181">
        <v>200</v>
      </c>
      <c r="C17" s="182" t="s">
        <v>684</v>
      </c>
      <c r="D17" s="182"/>
    </row>
    <row r="18" ht="30" customHeight="1" spans="1:5">
      <c r="A18" s="179" t="s">
        <v>685</v>
      </c>
      <c r="B18" s="180">
        <v>260</v>
      </c>
      <c r="C18" s="180" t="s">
        <v>686</v>
      </c>
      <c r="D18" s="180"/>
      <c r="E18" s="189"/>
    </row>
    <row r="19" ht="30" customHeight="1" spans="1:5">
      <c r="A19" s="105"/>
      <c r="B19" s="180">
        <v>500</v>
      </c>
      <c r="C19" s="180" t="s">
        <v>687</v>
      </c>
      <c r="D19" s="180"/>
      <c r="E19" s="189"/>
    </row>
    <row r="20" ht="30" customHeight="1" spans="1:4">
      <c r="A20" s="179" t="s">
        <v>688</v>
      </c>
      <c r="B20" s="91" t="s">
        <v>689</v>
      </c>
      <c r="C20" s="91" t="s">
        <v>690</v>
      </c>
      <c r="D20" s="91"/>
    </row>
    <row r="21" ht="30" customHeight="1" spans="1:4">
      <c r="A21" s="105"/>
      <c r="B21" s="91" t="s">
        <v>691</v>
      </c>
      <c r="C21" s="91" t="s">
        <v>692</v>
      </c>
      <c r="D21" s="91"/>
    </row>
    <row r="22" ht="30" customHeight="1" spans="1:4">
      <c r="A22" s="106"/>
      <c r="B22" s="181">
        <v>500</v>
      </c>
      <c r="C22" s="182" t="s">
        <v>604</v>
      </c>
      <c r="D22" s="182"/>
    </row>
    <row r="23" ht="30" customHeight="1" spans="1:4">
      <c r="A23" s="82" t="s">
        <v>104</v>
      </c>
      <c r="B23" s="181">
        <v>100</v>
      </c>
      <c r="C23" s="182" t="s">
        <v>693</v>
      </c>
      <c r="D23" s="181"/>
    </row>
    <row r="24" ht="30" customHeight="1" spans="1:4">
      <c r="A24" s="82" t="s">
        <v>561</v>
      </c>
      <c r="B24" s="180">
        <v>100</v>
      </c>
      <c r="C24" s="91" t="s">
        <v>694</v>
      </c>
      <c r="D24" s="91"/>
    </row>
    <row r="25" ht="30" customHeight="1" spans="1:4">
      <c r="A25" s="179" t="s">
        <v>618</v>
      </c>
      <c r="B25" s="180">
        <v>100</v>
      </c>
      <c r="C25" s="91" t="s">
        <v>695</v>
      </c>
      <c r="D25" s="91"/>
    </row>
    <row r="26" ht="30" customHeight="1" spans="1:4">
      <c r="A26" s="82" t="s">
        <v>330</v>
      </c>
      <c r="B26" s="183">
        <v>100</v>
      </c>
      <c r="C26" s="82"/>
      <c r="D26" s="82"/>
    </row>
    <row r="27" ht="30" customHeight="1" spans="1:4">
      <c r="A27" s="179" t="s">
        <v>159</v>
      </c>
      <c r="B27" s="184">
        <v>100</v>
      </c>
      <c r="C27" s="179" t="s">
        <v>604</v>
      </c>
      <c r="D27" s="179"/>
    </row>
    <row r="28" ht="50.25" customHeight="1" spans="1:5">
      <c r="A28" s="82" t="s">
        <v>151</v>
      </c>
      <c r="B28" s="185">
        <v>100</v>
      </c>
      <c r="C28" s="68" t="s">
        <v>696</v>
      </c>
      <c r="D28" s="82"/>
      <c r="E28" s="1" t="s">
        <v>697</v>
      </c>
    </row>
    <row r="29" ht="30" customHeight="1" spans="1:4">
      <c r="A29" s="186"/>
      <c r="B29" s="187">
        <v>100</v>
      </c>
      <c r="C29" s="188" t="s">
        <v>698</v>
      </c>
      <c r="D29" s="179"/>
    </row>
    <row r="30" ht="30" customHeight="1" spans="1:4">
      <c r="A30" s="82" t="s">
        <v>174</v>
      </c>
      <c r="B30" s="183">
        <v>100</v>
      </c>
      <c r="C30" s="82"/>
      <c r="D30" s="82"/>
    </row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</sheetData>
  <mergeCells count="6">
    <mergeCell ref="A1:D1"/>
    <mergeCell ref="A4:A10"/>
    <mergeCell ref="A11:A12"/>
    <mergeCell ref="A18:A19"/>
    <mergeCell ref="A20:A22"/>
    <mergeCell ref="A28:A29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组委会名单">
    <tabColor rgb="FFC3EAD5"/>
  </sheetPr>
  <dimension ref="A1:C13"/>
  <sheetViews>
    <sheetView workbookViewId="0">
      <selection activeCell="A1" sqref="A1"/>
    </sheetView>
  </sheetViews>
  <sheetFormatPr defaultColWidth="14" defaultRowHeight="18" customHeight="1" outlineLevelCol="2"/>
  <cols>
    <col min="1" max="1" width="17.1328125" style="172" customWidth="1"/>
    <col min="2" max="2" width="14.5703125" style="172" customWidth="1"/>
    <col min="3" max="3" width="33.3203125" style="172" customWidth="1"/>
  </cols>
  <sheetData>
    <row r="1" customHeight="1" spans="1:3">
      <c r="A1" s="173" t="s">
        <v>699</v>
      </c>
      <c r="B1" s="173" t="s">
        <v>279</v>
      </c>
      <c r="C1" s="174" t="s">
        <v>700</v>
      </c>
    </row>
    <row r="2" customHeight="1" spans="1:3">
      <c r="A2" s="173" t="s">
        <v>83</v>
      </c>
      <c r="B2" s="173">
        <v>283980530</v>
      </c>
      <c r="C2" s="174" t="s">
        <v>701</v>
      </c>
    </row>
    <row r="3" customHeight="1" spans="1:3">
      <c r="A3" s="173" t="s">
        <v>80</v>
      </c>
      <c r="B3" s="173">
        <v>106964785</v>
      </c>
      <c r="C3" s="174" t="s">
        <v>702</v>
      </c>
    </row>
    <row r="4" customHeight="1" spans="1:3">
      <c r="A4" s="175" t="s">
        <v>567</v>
      </c>
      <c r="B4" s="175">
        <v>283980530</v>
      </c>
      <c r="C4" s="174" t="s">
        <v>703</v>
      </c>
    </row>
    <row r="5" customHeight="1" spans="1:3">
      <c r="A5" s="175" t="s">
        <v>704</v>
      </c>
      <c r="B5" s="175">
        <v>136636318</v>
      </c>
      <c r="C5" s="174" t="s">
        <v>705</v>
      </c>
    </row>
    <row r="6" customHeight="1" spans="1:3">
      <c r="A6" s="175" t="s">
        <v>706</v>
      </c>
      <c r="B6" s="175">
        <v>137784091</v>
      </c>
      <c r="C6" s="174" t="s">
        <v>707</v>
      </c>
    </row>
    <row r="7" customHeight="1" spans="1:3">
      <c r="A7" s="175" t="s">
        <v>708</v>
      </c>
      <c r="B7" s="175">
        <v>283980530</v>
      </c>
      <c r="C7" s="174" t="s">
        <v>709</v>
      </c>
    </row>
    <row r="8" customHeight="1" spans="1:3">
      <c r="A8" s="176" t="s">
        <v>710</v>
      </c>
      <c r="B8" s="176">
        <v>137306952</v>
      </c>
      <c r="C8" s="174" t="s">
        <v>711</v>
      </c>
    </row>
    <row r="9" customHeight="1" spans="1:3">
      <c r="A9" s="175" t="s">
        <v>712</v>
      </c>
      <c r="B9" s="175">
        <v>283980530</v>
      </c>
      <c r="C9" s="174" t="s">
        <v>713</v>
      </c>
    </row>
    <row r="10" customHeight="1" spans="1:3">
      <c r="A10" s="177" t="s">
        <v>714</v>
      </c>
      <c r="B10" s="177">
        <v>283980530</v>
      </c>
      <c r="C10" s="174" t="s">
        <v>715</v>
      </c>
    </row>
    <row r="11" customHeight="1" spans="1:3">
      <c r="A11" s="175" t="s">
        <v>716</v>
      </c>
      <c r="B11" s="175">
        <v>283980530</v>
      </c>
      <c r="C11" s="174" t="s">
        <v>717</v>
      </c>
    </row>
    <row r="12" customHeight="1" spans="1:3">
      <c r="A12" s="172" t="s">
        <v>439</v>
      </c>
      <c r="C12" s="174" t="s">
        <v>718</v>
      </c>
    </row>
    <row r="13" customHeight="1" spans="1:3">
      <c r="A13" s="172" t="s">
        <v>174</v>
      </c>
      <c r="C13" s="174" t="s">
        <v>719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317内战"/>
  <dimension ref="A1:X43"/>
  <sheetViews>
    <sheetView workbookViewId="0">
      <selection activeCell="A1" sqref="A1"/>
    </sheetView>
  </sheetViews>
  <sheetFormatPr defaultColWidth="14" defaultRowHeight="18" customHeight="1"/>
  <cols>
    <col min="1" max="1" width="2.828125" style="130" customWidth="1"/>
    <col min="2" max="2" width="8.7734375" style="119" customWidth="1"/>
    <col min="3" max="3" width="13.671875" style="34"/>
    <col min="4" max="4" width="9.4453125" customWidth="1"/>
    <col min="8" max="8" width="7.9609375" style="3" customWidth="1"/>
    <col min="9" max="12" width="13.671875" style="34"/>
    <col min="13" max="13" width="3.1015625" style="34" customWidth="1"/>
    <col min="14" max="14" width="13.671875" style="34"/>
    <col min="15" max="16" width="3.5078125" style="34" customWidth="1"/>
    <col min="17" max="17" width="13.671875" style="34"/>
    <col min="18" max="19" width="3.5078125" style="34" customWidth="1"/>
    <col min="20" max="20" width="13.671875" style="34"/>
    <col min="21" max="22" width="3.5078125" style="34" customWidth="1"/>
  </cols>
  <sheetData>
    <row r="1" customHeight="1" spans="1:23">
      <c r="A1" s="131"/>
      <c r="B1" s="121" t="s">
        <v>720</v>
      </c>
      <c r="C1" s="121" t="s">
        <v>270</v>
      </c>
      <c r="D1" s="84" t="s">
        <v>721</v>
      </c>
      <c r="E1" s="84" t="s">
        <v>271</v>
      </c>
      <c r="F1" s="84" t="s">
        <v>722</v>
      </c>
      <c r="G1" s="84" t="s">
        <v>226</v>
      </c>
      <c r="H1" s="169" t="s">
        <v>723</v>
      </c>
      <c r="J1" s="35"/>
      <c r="K1" s="35"/>
      <c r="L1" s="35"/>
      <c r="M1" s="35"/>
      <c r="N1" s="35" t="s">
        <v>724</v>
      </c>
      <c r="O1"/>
      <c r="P1"/>
      <c r="Q1"/>
      <c r="R1"/>
      <c r="S1"/>
      <c r="T1"/>
      <c r="U1"/>
      <c r="V1"/>
      <c r="W1" s="3"/>
    </row>
    <row r="2" customHeight="1" spans="2:23">
      <c r="B2" s="127">
        <v>12</v>
      </c>
      <c r="C2" s="132" t="str">
        <f>VLOOKUP(B2,选手名单!A:I,2,0)</f>
        <v>秋</v>
      </c>
      <c r="D2" s="123">
        <f>VLOOKUP(B2,选手名单!A:I,6,0)</f>
        <v>90</v>
      </c>
      <c r="E2" s="123">
        <f>VLOOKUP(B2,选手名单!A:I,3,0)</f>
        <v>1004877057</v>
      </c>
      <c r="F2" s="123">
        <f>VLOOKUP(B2,选手名单!A:I,5,0)</f>
        <v>9000</v>
      </c>
      <c r="G2" s="128" t="str">
        <f>VLOOKUP(B2,选手名单!A:I,7,0)</f>
        <v>一,二,三,四</v>
      </c>
      <c r="H2" s="170"/>
      <c r="I2" s="99" t="s">
        <v>84</v>
      </c>
      <c r="J2" s="41"/>
      <c r="K2" s="153" t="s">
        <v>107</v>
      </c>
      <c r="L2" s="154"/>
      <c r="M2" s="66"/>
      <c r="N2" s="61" t="s">
        <v>725</v>
      </c>
      <c r="O2" s="58"/>
      <c r="P2" s="58"/>
      <c r="Q2" s="1"/>
      <c r="R2" s="58"/>
      <c r="S2" s="58"/>
      <c r="T2" s="58"/>
      <c r="U2"/>
      <c r="V2"/>
      <c r="W2" s="3"/>
    </row>
    <row r="3" customHeight="1" spans="2:23">
      <c r="B3" s="127">
        <v>13</v>
      </c>
      <c r="C3" s="132" t="str">
        <f>VLOOKUP(B3,选手名单!A:I,2,0)</f>
        <v>赤夜紫雨</v>
      </c>
      <c r="D3" s="123">
        <f>VLOOKUP(B3,选手名单!A:I,6,0)</f>
        <v>89</v>
      </c>
      <c r="E3" s="123">
        <f>VLOOKUP(B3,选手名单!A:I,3,0)</f>
        <v>187933845</v>
      </c>
      <c r="F3" s="123">
        <f>VLOOKUP(B3,选手名单!A:I,5,0)</f>
        <v>8100</v>
      </c>
      <c r="G3" s="128" t="str">
        <f>VLOOKUP(B3,选手名单!A:I,7,0)</f>
        <v>一,三</v>
      </c>
      <c r="H3" s="170"/>
      <c r="I3" s="99" t="s">
        <v>84</v>
      </c>
      <c r="J3" s="99">
        <v>90</v>
      </c>
      <c r="K3" s="69" t="s">
        <v>107</v>
      </c>
      <c r="L3" s="69">
        <v>89</v>
      </c>
      <c r="M3" s="66"/>
      <c r="N3" s="41"/>
      <c r="O3" s="59"/>
      <c r="P3" s="60"/>
      <c r="Q3" s="51"/>
      <c r="R3" s="58"/>
      <c r="S3" s="58"/>
      <c r="T3" s="58"/>
      <c r="U3"/>
      <c r="V3"/>
      <c r="W3" s="3"/>
    </row>
    <row r="4" customHeight="1" spans="2:23">
      <c r="B4" s="82">
        <v>23</v>
      </c>
      <c r="C4" s="132" t="str">
        <f>VLOOKUP(B4,选手名单!A:I,2,0)</f>
        <v>辞</v>
      </c>
      <c r="D4" s="123">
        <f>VLOOKUP(B4,选手名单!A:I,6,0)</f>
        <v>88</v>
      </c>
      <c r="E4" s="123">
        <f>VLOOKUP(B4,选手名单!A:I,3,0)</f>
        <v>417861014</v>
      </c>
      <c r="F4" s="123">
        <f>VLOOKUP(B4,选手名单!A:I,5,0)</f>
        <v>8300</v>
      </c>
      <c r="G4" s="128" t="str">
        <f>VLOOKUP(B4,选手名单!A:I,7,0)</f>
        <v>一,二</v>
      </c>
      <c r="H4" s="154"/>
      <c r="I4" s="99" t="s">
        <v>118</v>
      </c>
      <c r="J4" s="99">
        <v>60</v>
      </c>
      <c r="K4" s="67" t="s">
        <v>104</v>
      </c>
      <c r="L4" s="67">
        <v>77</v>
      </c>
      <c r="M4" s="76"/>
      <c r="N4" s="76"/>
      <c r="O4" s="58"/>
      <c r="P4" s="60"/>
      <c r="Q4" s="61" t="s">
        <v>726</v>
      </c>
      <c r="R4" s="58"/>
      <c r="S4" s="58"/>
      <c r="T4" s="58"/>
      <c r="U4"/>
      <c r="V4"/>
      <c r="W4" s="3"/>
    </row>
    <row r="5" customHeight="1" spans="2:23">
      <c r="B5" s="127">
        <v>7</v>
      </c>
      <c r="C5" s="132" t="str">
        <f>VLOOKUP(B5,选手名单!A:I,2,0)</f>
        <v>大蟑螂</v>
      </c>
      <c r="D5" s="123">
        <f>VLOOKUP(B5,选手名单!A:I,6,0)</f>
        <v>87</v>
      </c>
      <c r="E5" s="123">
        <f>VLOOKUP(B5,选手名单!A:I,3,0)</f>
        <v>341670770</v>
      </c>
      <c r="F5" s="123">
        <f>VLOOKUP(B5,选手名单!A:I,5,0)</f>
        <v>9000</v>
      </c>
      <c r="G5" s="128" t="str">
        <f>VLOOKUP(B5,选手名单!A:I,7,0)</f>
        <v>二</v>
      </c>
      <c r="H5" s="170"/>
      <c r="I5" s="99" t="s">
        <v>87</v>
      </c>
      <c r="J5" s="99">
        <v>75</v>
      </c>
      <c r="K5" s="67" t="s">
        <v>132</v>
      </c>
      <c r="L5" s="67">
        <v>63</v>
      </c>
      <c r="M5" s="76"/>
      <c r="N5"/>
      <c r="O5" s="58"/>
      <c r="P5" s="62"/>
      <c r="Q5" s="41"/>
      <c r="R5" s="59"/>
      <c r="S5" s="60"/>
      <c r="T5" s="63"/>
      <c r="U5"/>
      <c r="V5"/>
      <c r="W5" s="3"/>
    </row>
    <row r="6" customHeight="1" spans="2:23">
      <c r="B6" s="127">
        <v>1</v>
      </c>
      <c r="C6" s="132" t="str">
        <f>VLOOKUP(B6,选手名单!A:I,2,0)</f>
        <v>笑败</v>
      </c>
      <c r="D6" s="123">
        <f>VLOOKUP(B6,选手名单!A:I,6,0)</f>
        <v>84</v>
      </c>
      <c r="E6" s="123">
        <f>VLOOKUP(B6,选手名单!A:I,3,0)</f>
        <v>106964785</v>
      </c>
      <c r="F6" s="123">
        <f>VLOOKUP(B6,选手名单!A:I,5,0)</f>
        <v>8330</v>
      </c>
      <c r="G6" s="128" t="str">
        <f>VLOOKUP(B6,选手名单!A:I,7,0)</f>
        <v>一</v>
      </c>
      <c r="H6" s="170"/>
      <c r="I6" s="99" t="s">
        <v>396</v>
      </c>
      <c r="J6" s="99">
        <v>58</v>
      </c>
      <c r="K6" s="67" t="s">
        <v>155</v>
      </c>
      <c r="L6" s="67">
        <v>55</v>
      </c>
      <c r="M6" s="75"/>
      <c r="N6" s="77" t="s">
        <v>726</v>
      </c>
      <c r="O6" s="58"/>
      <c r="P6" s="60"/>
      <c r="Q6" s="42"/>
      <c r="R6" s="58"/>
      <c r="S6" s="60"/>
      <c r="T6" s="1"/>
      <c r="U6"/>
      <c r="V6"/>
      <c r="W6" s="3"/>
    </row>
    <row r="7" customHeight="1" spans="2:23">
      <c r="B7" s="127">
        <v>10</v>
      </c>
      <c r="C7" s="132" t="str">
        <f>VLOOKUP(B7,选手名单!A:I,2,0)</f>
        <v>阿魂呐</v>
      </c>
      <c r="D7" s="123">
        <f>VLOOKUP(B7,选手名单!A:I,6,0)</f>
        <v>81</v>
      </c>
      <c r="E7" s="123">
        <f>VLOOKUP(B7,选手名单!A:I,3,0)</f>
        <v>138558413</v>
      </c>
      <c r="F7" s="123">
        <f>VLOOKUP(B7,选手名单!A:I,5,0)</f>
        <v>7500</v>
      </c>
      <c r="G7" s="128" t="str">
        <f>VLOOKUP(B7,选手名单!A:I,7,0)</f>
        <v>二</v>
      </c>
      <c r="H7" s="170"/>
      <c r="I7" s="99" t="s">
        <v>457</v>
      </c>
      <c r="J7" s="99">
        <v>45</v>
      </c>
      <c r="K7" s="67" t="s">
        <v>514</v>
      </c>
      <c r="L7" s="67">
        <v>40</v>
      </c>
      <c r="M7" s="75"/>
      <c r="N7" s="41"/>
      <c r="O7" s="59"/>
      <c r="P7" s="58"/>
      <c r="Q7"/>
      <c r="R7" s="58"/>
      <c r="S7" s="60"/>
      <c r="T7" s="66"/>
      <c r="U7"/>
      <c r="V7"/>
      <c r="W7" s="3"/>
    </row>
    <row r="8" customHeight="1" spans="2:23">
      <c r="B8" s="82">
        <v>25</v>
      </c>
      <c r="C8" s="162" t="str">
        <f>VLOOKUP(B8,选手名单!A:I,2,0)</f>
        <v>iqbs</v>
      </c>
      <c r="D8" s="123">
        <f>VLOOKUP(B8,选手名单!A:I,6,0)</f>
        <v>77</v>
      </c>
      <c r="E8" s="123">
        <f>VLOOKUP(B8,选手名单!A:I,3,0)</f>
        <v>383560624</v>
      </c>
      <c r="F8" s="123">
        <f>VLOOKUP(B8,选手名单!A:I,5,0)</f>
        <v>7700</v>
      </c>
      <c r="G8" s="128" t="str">
        <f>VLOOKUP(B8,选手名单!A:I,7,0)</f>
        <v>四,五,三</v>
      </c>
      <c r="H8" s="154"/>
      <c r="I8" s="99" t="s">
        <v>727</v>
      </c>
      <c r="J8" s="99">
        <f>SUM(J3:J7)</f>
        <v>328</v>
      </c>
      <c r="K8" s="67" t="s">
        <v>727</v>
      </c>
      <c r="L8" s="67">
        <f>SUM(L3:L7)</f>
        <v>324</v>
      </c>
      <c r="M8" s="78"/>
      <c r="N8" s="78"/>
      <c r="O8" s="49"/>
      <c r="P8" s="49"/>
      <c r="Q8"/>
      <c r="R8" s="58"/>
      <c r="S8" s="60"/>
      <c r="T8" s="77"/>
      <c r="U8"/>
      <c r="V8"/>
      <c r="W8" s="3"/>
    </row>
    <row r="9" customHeight="1" spans="2:23">
      <c r="B9" s="82">
        <v>27</v>
      </c>
      <c r="C9" s="162" t="str">
        <f>VLOOKUP(B9,选手名单!A:I,2,0)</f>
        <v>YuuU</v>
      </c>
      <c r="D9" s="123">
        <f>VLOOKUP(B9,选手名单!A:I,6,0)</f>
        <v>77</v>
      </c>
      <c r="E9" s="123">
        <f>VLOOKUP(B9,选手名单!A:I,3,0)</f>
        <v>885588023</v>
      </c>
      <c r="F9" s="123">
        <f>VLOOKUP(B9,选手名单!A:I,5,0)</f>
        <v>7000</v>
      </c>
      <c r="G9" s="128" t="str">
        <f>VLOOKUP(B9,选手名单!A:I,7,0)</f>
        <v>一,二,三,四,五</v>
      </c>
      <c r="H9" s="154"/>
      <c r="I9" s="68" t="s">
        <v>281</v>
      </c>
      <c r="J9" s="41"/>
      <c r="K9" s="101" t="s">
        <v>130</v>
      </c>
      <c r="L9" s="41"/>
      <c r="M9" s="66"/>
      <c r="N9" s="61" t="s">
        <v>728</v>
      </c>
      <c r="O9" s="58"/>
      <c r="P9" s="58"/>
      <c r="Q9"/>
      <c r="R9" s="58"/>
      <c r="S9" s="62"/>
      <c r="T9" s="41"/>
      <c r="U9" s="80"/>
      <c r="V9"/>
      <c r="W9" s="3"/>
    </row>
    <row r="10" customHeight="1" spans="2:23">
      <c r="B10" s="82">
        <v>24</v>
      </c>
      <c r="C10" s="162" t="str">
        <f>VLOOKUP(B10,选手名单!A:I,2,0)</f>
        <v>雲天河</v>
      </c>
      <c r="D10" s="123">
        <f>VLOOKUP(B10,选手名单!A:I,6,0)</f>
        <v>76</v>
      </c>
      <c r="E10" s="123">
        <f>VLOOKUP(B10,选手名单!A:I,3,0)</f>
        <v>267719332</v>
      </c>
      <c r="F10" s="123">
        <f>VLOOKUP(B10,选手名单!A:I,5,0)</f>
        <v>6500</v>
      </c>
      <c r="G10" s="128" t="str">
        <f>VLOOKUP(B10,选手名单!A:I,7,0)</f>
        <v>二,四,五</v>
      </c>
      <c r="H10" s="154"/>
      <c r="I10" s="68" t="s">
        <v>281</v>
      </c>
      <c r="J10" s="68">
        <v>88</v>
      </c>
      <c r="K10" s="101" t="s">
        <v>130</v>
      </c>
      <c r="L10" s="101">
        <v>87</v>
      </c>
      <c r="M10" s="66"/>
      <c r="N10" s="41"/>
      <c r="O10" s="59"/>
      <c r="P10" s="60"/>
      <c r="Q10"/>
      <c r="R10" s="58"/>
      <c r="S10" s="60"/>
      <c r="T10" s="79"/>
      <c r="U10" s="81"/>
      <c r="V10"/>
      <c r="W10" s="3"/>
    </row>
    <row r="11" customHeight="1" spans="2:23">
      <c r="B11" s="127">
        <v>2</v>
      </c>
      <c r="C11" s="162" t="str">
        <f>VLOOKUP(B11,选手名单!A:I,2,0)</f>
        <v>一颗大白菜</v>
      </c>
      <c r="D11" s="123">
        <f>VLOOKUP(B11,选手名单!A:I,6,0)</f>
        <v>75</v>
      </c>
      <c r="E11" s="123">
        <f>VLOOKUP(B11,选手名单!A:I,3,0)</f>
        <v>186753076</v>
      </c>
      <c r="F11" s="123">
        <f>VLOOKUP(B11,选手名单!A:I,5,0)</f>
        <v>7500</v>
      </c>
      <c r="G11" s="128" t="str">
        <f>VLOOKUP(B11,选手名单!A:I,7,0)</f>
        <v>一,二,三</v>
      </c>
      <c r="H11" s="170"/>
      <c r="I11" s="68" t="s">
        <v>150</v>
      </c>
      <c r="J11" s="68">
        <v>77</v>
      </c>
      <c r="K11" s="101" t="s">
        <v>179</v>
      </c>
      <c r="L11" s="101">
        <v>34</v>
      </c>
      <c r="M11" s="76"/>
      <c r="N11" s="76"/>
      <c r="O11" s="58"/>
      <c r="P11" s="60"/>
      <c r="Q11" s="61" t="s">
        <v>729</v>
      </c>
      <c r="R11" s="58"/>
      <c r="S11" s="60"/>
      <c r="T11"/>
      <c r="U11" s="81"/>
      <c r="V11"/>
      <c r="W11" s="3"/>
    </row>
    <row r="12" customHeight="1" spans="2:23">
      <c r="B12" s="127">
        <v>19</v>
      </c>
      <c r="C12" s="162">
        <f>VLOOKUP(B12,选手名单!A:I,2,0)</f>
        <v>21</v>
      </c>
      <c r="D12" s="123">
        <f>VLOOKUP(B12,选手名单!A:I,6,0)</f>
        <v>75</v>
      </c>
      <c r="E12" s="123">
        <f>VLOOKUP(B12,选手名单!A:I,3,0)</f>
        <v>277443592</v>
      </c>
      <c r="F12" s="123">
        <f>VLOOKUP(B12,选手名单!A:I,5,0)</f>
        <v>6800</v>
      </c>
      <c r="G12" s="128" t="str">
        <f>VLOOKUP(B12,选手名单!A:I,7,0)</f>
        <v>一</v>
      </c>
      <c r="H12" s="171"/>
      <c r="I12" s="68" t="s">
        <v>318</v>
      </c>
      <c r="J12" s="68">
        <v>76</v>
      </c>
      <c r="K12" s="101">
        <v>21</v>
      </c>
      <c r="L12" s="101">
        <v>75</v>
      </c>
      <c r="M12" s="76"/>
      <c r="N12"/>
      <c r="O12" s="58"/>
      <c r="P12" s="62"/>
      <c r="Q12" s="41"/>
      <c r="R12" s="59"/>
      <c r="S12" s="58"/>
      <c r="T12"/>
      <c r="U12" s="81"/>
      <c r="V12"/>
      <c r="W12" s="3" t="s">
        <v>730</v>
      </c>
    </row>
    <row r="13" customHeight="1" spans="2:24">
      <c r="B13" s="82">
        <v>26</v>
      </c>
      <c r="C13" s="162" t="str">
        <f>VLOOKUP(B13,选手名单!A:I,2,0)</f>
        <v>小牛</v>
      </c>
      <c r="D13" s="123">
        <f>VLOOKUP(B13,选手名单!A:I,6,0)</f>
        <v>75</v>
      </c>
      <c r="E13" s="123">
        <f>VLOOKUP(B13,选手名单!A:I,3,0)</f>
        <v>1259908216</v>
      </c>
      <c r="F13" s="123">
        <f>VLOOKUP(B13,选手名单!A:I,5,0)</f>
        <v>7500</v>
      </c>
      <c r="G13" s="128" t="str">
        <f>VLOOKUP(B13,选手名单!A:I,7,0)</f>
        <v>二</v>
      </c>
      <c r="H13" s="154"/>
      <c r="I13" s="68" t="s">
        <v>184</v>
      </c>
      <c r="J13" s="68">
        <v>40</v>
      </c>
      <c r="K13" s="101" t="s">
        <v>114</v>
      </c>
      <c r="L13" s="101">
        <v>65</v>
      </c>
      <c r="M13" s="75"/>
      <c r="N13" s="77" t="s">
        <v>729</v>
      </c>
      <c r="O13" s="58"/>
      <c r="P13" s="60"/>
      <c r="Q13" s="1"/>
      <c r="R13" s="58"/>
      <c r="S13" s="58"/>
      <c r="T13"/>
      <c r="U13" s="81"/>
      <c r="V13"/>
      <c r="W13" s="82"/>
      <c r="X13" s="103"/>
    </row>
    <row r="14" customHeight="1" spans="2:24">
      <c r="B14" s="82">
        <v>30</v>
      </c>
      <c r="C14" s="162" t="str">
        <f>VLOOKUP(B14,选手名单!A:I,2,0)</f>
        <v>荼霏</v>
      </c>
      <c r="D14" s="123">
        <f>VLOOKUP(B14,选手名单!A:I,6,0)</f>
        <v>75</v>
      </c>
      <c r="E14" s="123">
        <f>VLOOKUP(B14,选手名单!A:I,3,0)</f>
        <v>137852652</v>
      </c>
      <c r="F14" s="123">
        <f>VLOOKUP(B14,选手名单!A:I,5,0)</f>
        <v>6800</v>
      </c>
      <c r="G14" s="128" t="str">
        <f>VLOOKUP(B14,选手名单!A:I,7,0)</f>
        <v>一,二,四,五</v>
      </c>
      <c r="H14" s="154"/>
      <c r="I14" s="68" t="s">
        <v>138</v>
      </c>
      <c r="J14" s="68">
        <v>50</v>
      </c>
      <c r="K14" s="101" t="s">
        <v>157</v>
      </c>
      <c r="L14" s="101">
        <v>34</v>
      </c>
      <c r="M14" s="75"/>
      <c r="N14" s="41"/>
      <c r="O14" s="59"/>
      <c r="P14" s="58"/>
      <c r="Q14" s="1"/>
      <c r="R14" s="58"/>
      <c r="S14" s="58"/>
      <c r="T14"/>
      <c r="U14" s="81"/>
      <c r="V14"/>
      <c r="W14" s="41"/>
      <c r="X14" s="103"/>
    </row>
    <row r="15" customHeight="1" spans="2:24">
      <c r="B15" s="82">
        <v>28</v>
      </c>
      <c r="C15" s="162" t="str">
        <f>VLOOKUP(B15,选手名单!A:I,2,0)</f>
        <v>BLY</v>
      </c>
      <c r="D15" s="123">
        <f>VLOOKUP(B15,选手名单!A:I,6,0)</f>
        <v>72</v>
      </c>
      <c r="E15" s="123">
        <f>VLOOKUP(B15,选手名单!A:I,3,0)</f>
        <v>323934704</v>
      </c>
      <c r="F15" s="123">
        <f>VLOOKUP(B15,选手名单!A:I,5,0)</f>
        <v>6400</v>
      </c>
      <c r="G15" s="128" t="str">
        <f>VLOOKUP(B15,选手名单!A:I,7,0)</f>
        <v>一</v>
      </c>
      <c r="H15" s="154"/>
      <c r="I15" s="68" t="s">
        <v>727</v>
      </c>
      <c r="J15" s="68">
        <f>SUM(J10:J14)</f>
        <v>331</v>
      </c>
      <c r="K15" s="101" t="s">
        <v>727</v>
      </c>
      <c r="L15" s="101">
        <f>SUM(L10:L14)</f>
        <v>295</v>
      </c>
      <c r="M15"/>
      <c r="N15"/>
      <c r="O15"/>
      <c r="P15"/>
      <c r="Q15"/>
      <c r="R15"/>
      <c r="S15" s="58"/>
      <c r="T15"/>
      <c r="U15" s="81"/>
      <c r="V15"/>
      <c r="W15" s="41"/>
      <c r="X15" s="103"/>
    </row>
    <row r="16" customHeight="1" spans="2:24">
      <c r="B16" s="82">
        <v>22</v>
      </c>
      <c r="C16" s="162" t="str">
        <f>VLOOKUP(B16,选手名单!A:I,2,0)</f>
        <v>哞哞</v>
      </c>
      <c r="D16" s="123">
        <f>VLOOKUP(B16,选手名单!A:I,6,0)</f>
        <v>65</v>
      </c>
      <c r="E16" s="123">
        <f>VLOOKUP(B16,选手名单!A:I,3,0)</f>
        <v>235611786</v>
      </c>
      <c r="F16" s="123">
        <f>VLOOKUP(B16,选手名单!A:I,5,0)</f>
        <v>4300</v>
      </c>
      <c r="G16" s="128" t="str">
        <f>VLOOKUP(B16,选手名单!A:I,7,0)</f>
        <v>二</v>
      </c>
      <c r="H16" s="154"/>
      <c r="I16" s="71" t="s">
        <v>80</v>
      </c>
      <c r="J16" s="41"/>
      <c r="K16" s="155" t="s">
        <v>300</v>
      </c>
      <c r="L16" s="154"/>
      <c r="M16" s="66"/>
      <c r="N16" s="61" t="s">
        <v>731</v>
      </c>
      <c r="O16" s="58"/>
      <c r="P16" s="58"/>
      <c r="Q16" s="1"/>
      <c r="R16" s="58"/>
      <c r="S16" s="58"/>
      <c r="T16"/>
      <c r="U16" s="81"/>
      <c r="V16" s="83"/>
      <c r="W16" s="41"/>
      <c r="X16" s="103"/>
    </row>
    <row r="17" customHeight="1" spans="2:24">
      <c r="B17" s="127">
        <v>3</v>
      </c>
      <c r="C17" s="162" t="str">
        <f>VLOOKUP(B17,选手名单!A:I,2,0)</f>
        <v>睡衣大大</v>
      </c>
      <c r="D17" s="123">
        <f>VLOOKUP(B17,选手名单!A:I,6,0)</f>
        <v>63</v>
      </c>
      <c r="E17" s="123">
        <f>VLOOKUP(B17,选手名单!A:I,3,0)</f>
        <v>104465635</v>
      </c>
      <c r="F17" s="123">
        <f>VLOOKUP(B17,选手名单!A:I,5,0)</f>
        <v>6000</v>
      </c>
      <c r="G17" s="128" t="str">
        <f>VLOOKUP(B17,选手名单!A:I,7,0)</f>
        <v>一,二</v>
      </c>
      <c r="H17" s="170"/>
      <c r="I17" s="71" t="s">
        <v>80</v>
      </c>
      <c r="J17" s="71">
        <v>84</v>
      </c>
      <c r="K17" s="103" t="s">
        <v>96</v>
      </c>
      <c r="L17" s="103">
        <v>81</v>
      </c>
      <c r="M17" s="66"/>
      <c r="N17" s="41"/>
      <c r="O17" s="59"/>
      <c r="P17" s="60"/>
      <c r="Q17" s="51"/>
      <c r="R17" s="58"/>
      <c r="S17" s="58"/>
      <c r="U17" s="81"/>
      <c r="V17"/>
      <c r="W17" s="41"/>
      <c r="X17" s="102"/>
    </row>
    <row r="18" customHeight="1" spans="2:23">
      <c r="B18" s="127">
        <v>5</v>
      </c>
      <c r="C18" s="162" t="str">
        <f>VLOOKUP(B18,选手名单!A:I,2,0)</f>
        <v>蜡笔小雪</v>
      </c>
      <c r="D18" s="123">
        <f>VLOOKUP(B18,选手名单!A:I,6,0)</f>
        <v>60</v>
      </c>
      <c r="E18" s="123">
        <f>VLOOKUP(B18,选手名单!A:I,3,0)</f>
        <v>154029585</v>
      </c>
      <c r="F18" s="123">
        <f>VLOOKUP(B18,选手名单!A:I,5,0)</f>
        <v>6000</v>
      </c>
      <c r="G18" s="128" t="str">
        <f>VLOOKUP(B18,选手名单!A:I,7,0)</f>
        <v>三</v>
      </c>
      <c r="H18" s="170"/>
      <c r="I18" s="71" t="s">
        <v>113</v>
      </c>
      <c r="J18" s="71">
        <v>75</v>
      </c>
      <c r="K18" s="103" t="s">
        <v>100</v>
      </c>
      <c r="L18" s="103">
        <v>53</v>
      </c>
      <c r="M18" s="76"/>
      <c r="N18" s="76"/>
      <c r="O18" s="58"/>
      <c r="P18" s="60"/>
      <c r="Q18" s="61" t="s">
        <v>731</v>
      </c>
      <c r="R18" s="58"/>
      <c r="S18" s="58"/>
      <c r="U18" s="81"/>
      <c r="V18"/>
      <c r="W18" s="3"/>
    </row>
    <row r="19" customHeight="1" spans="2:23">
      <c r="B19" s="127">
        <v>6</v>
      </c>
      <c r="C19" s="162" t="str">
        <f>VLOOKUP(B19,选手名单!A:I,2,0)</f>
        <v>jose</v>
      </c>
      <c r="D19" s="123">
        <f>VLOOKUP(B19,选手名单!A:I,6,0)</f>
        <v>59</v>
      </c>
      <c r="E19" s="123">
        <f>VLOOKUP(B19,选手名单!A:I,3,0)</f>
        <v>1255409177</v>
      </c>
      <c r="F19" s="123">
        <f>VLOOKUP(B19,选手名单!A:I,5,0)</f>
        <v>6200</v>
      </c>
      <c r="G19" s="128" t="str">
        <f>VLOOKUP(B19,选手名单!A:I,7,0)</f>
        <v>三</v>
      </c>
      <c r="H19" s="170"/>
      <c r="I19" s="71" t="s">
        <v>465</v>
      </c>
      <c r="J19" s="71">
        <v>45</v>
      </c>
      <c r="K19" s="102" t="s">
        <v>247</v>
      </c>
      <c r="L19" s="102">
        <v>75</v>
      </c>
      <c r="M19" s="76"/>
      <c r="N19"/>
      <c r="O19" s="58"/>
      <c r="P19" s="62"/>
      <c r="Q19" s="41"/>
      <c r="R19" s="59"/>
      <c r="S19" s="60"/>
      <c r="U19" s="81"/>
      <c r="V19"/>
      <c r="W19" s="3"/>
    </row>
    <row r="20" customHeight="1" spans="2:23">
      <c r="B20" s="127">
        <v>15</v>
      </c>
      <c r="C20" s="162" t="str">
        <f>VLOOKUP(B20,选手名单!A:I,2,0)</f>
        <v>End</v>
      </c>
      <c r="D20" s="123">
        <f>VLOOKUP(B20,选手名单!A:I,6,0)</f>
        <v>58</v>
      </c>
      <c r="E20" s="123">
        <f>VLOOKUP(B20,选手名单!A:I,3,0)</f>
        <v>354618808</v>
      </c>
      <c r="F20" s="123">
        <f>VLOOKUP(B20,选手名单!A:I,5,0)</f>
        <v>6000</v>
      </c>
      <c r="G20" s="128" t="str">
        <f>VLOOKUP(B20,选手名单!A:I,7,0)</f>
        <v>一,五</v>
      </c>
      <c r="H20" s="170"/>
      <c r="I20" s="71" t="s">
        <v>330</v>
      </c>
      <c r="J20" s="71">
        <v>72</v>
      </c>
      <c r="K20" s="102" t="s">
        <v>394</v>
      </c>
      <c r="L20" s="102">
        <v>59</v>
      </c>
      <c r="M20" s="75"/>
      <c r="N20" s="77" t="s">
        <v>732</v>
      </c>
      <c r="O20" s="58"/>
      <c r="P20" s="60"/>
      <c r="Q20" s="42"/>
      <c r="R20" s="58"/>
      <c r="S20" s="60"/>
      <c r="U20" s="81"/>
      <c r="V20"/>
      <c r="W20" s="3"/>
    </row>
    <row r="21" customHeight="1" spans="2:23">
      <c r="B21" s="127">
        <v>18</v>
      </c>
      <c r="C21" s="162" t="str">
        <f>VLOOKUP(B21,选手名单!A:I,2,0)</f>
        <v>王亚祈</v>
      </c>
      <c r="D21" s="123">
        <f>VLOOKUP(B21,选手名单!A:I,6,0)</f>
        <v>55</v>
      </c>
      <c r="E21" s="123">
        <f>VLOOKUP(B21,选手名单!A:I,3,0)</f>
        <v>417868870</v>
      </c>
      <c r="F21" s="123">
        <f>VLOOKUP(B21,选手名单!A:I,5,0)</f>
        <v>5500</v>
      </c>
      <c r="G21" s="128" t="str">
        <f>VLOOKUP(B21,选手名单!A:I,7,0)</f>
        <v>一,四,五</v>
      </c>
      <c r="H21" s="170"/>
      <c r="I21" s="71" t="s">
        <v>489</v>
      </c>
      <c r="J21" s="71">
        <v>41</v>
      </c>
      <c r="K21" s="102" t="s">
        <v>170</v>
      </c>
      <c r="L21" s="102">
        <v>50</v>
      </c>
      <c r="M21" s="75"/>
      <c r="N21" s="41"/>
      <c r="O21" s="59"/>
      <c r="P21" s="58"/>
      <c r="Q21"/>
      <c r="R21" s="58"/>
      <c r="S21" s="60"/>
      <c r="U21" s="81"/>
      <c r="V21"/>
      <c r="W21" s="3"/>
    </row>
    <row r="22" customHeight="1" spans="2:23">
      <c r="B22" s="127">
        <v>16</v>
      </c>
      <c r="C22" s="162" t="str">
        <f>VLOOKUP(B22,选手名单!A:I,2,0)</f>
        <v>你也喜欢河马嘛</v>
      </c>
      <c r="D22" s="123">
        <f>VLOOKUP(B22,选手名单!A:I,6,0)</f>
        <v>53</v>
      </c>
      <c r="E22" s="123">
        <f>VLOOKUP(B22,选手名单!A:I,3,0)</f>
        <v>189497913</v>
      </c>
      <c r="F22" s="123">
        <f>VLOOKUP(B22,选手名单!A:I,5,0)</f>
        <v>5300</v>
      </c>
      <c r="G22" s="128" t="str">
        <f>VLOOKUP(B22,选手名单!A:I,7,0)</f>
        <v>一,二,三,四,五</v>
      </c>
      <c r="H22" s="130"/>
      <c r="I22" s="71" t="s">
        <v>727</v>
      </c>
      <c r="J22" s="71">
        <f>SUM(J17:J21)</f>
        <v>317</v>
      </c>
      <c r="K22" s="102" t="s">
        <v>727</v>
      </c>
      <c r="L22" s="102">
        <f>SUM(L17:L21)</f>
        <v>318</v>
      </c>
      <c r="M22" s="78"/>
      <c r="N22" s="78"/>
      <c r="O22" s="49"/>
      <c r="P22" s="49"/>
      <c r="Q22"/>
      <c r="R22" s="58"/>
      <c r="S22" s="60"/>
      <c r="T22" s="77"/>
      <c r="U22" s="81"/>
      <c r="V22"/>
      <c r="W22" s="3"/>
    </row>
    <row r="23" customHeight="1" spans="2:23">
      <c r="B23" s="127">
        <v>8</v>
      </c>
      <c r="C23" s="162" t="str">
        <f>VLOOKUP(B23,选手名单!A:I,2,0)</f>
        <v>。。~</v>
      </c>
      <c r="D23" s="123">
        <f>VLOOKUP(B23,选手名单!A:I,6,0)</f>
        <v>50</v>
      </c>
      <c r="E23" s="123">
        <f>VLOOKUP(B23,选手名单!A:I,3,0)</f>
        <v>136537289</v>
      </c>
      <c r="F23" s="123">
        <f>VLOOKUP(B23,选手名单!A:I,5,0)</f>
        <v>5000</v>
      </c>
      <c r="G23" s="128" t="str">
        <f>VLOOKUP(B23,选手名单!A:I,7,0)</f>
        <v>一,二,三,四</v>
      </c>
      <c r="H23" s="130"/>
      <c r="M23" s="66"/>
      <c r="Q23"/>
      <c r="R23" s="58"/>
      <c r="S23" s="62"/>
      <c r="T23" s="41"/>
      <c r="U23" s="83"/>
      <c r="V23"/>
      <c r="W23" s="3"/>
    </row>
    <row r="24" customHeight="1" spans="2:23">
      <c r="B24" s="82">
        <v>29</v>
      </c>
      <c r="C24" s="162" t="str">
        <f>VLOOKUP(B24,选手名单!A:I,2,0)</f>
        <v>风</v>
      </c>
      <c r="D24" s="123">
        <f>VLOOKUP(B24,选手名单!A:I,6,0)</f>
        <v>50</v>
      </c>
      <c r="E24" s="123">
        <f>VLOOKUP(B24,选手名单!A:I,3,0)</f>
        <v>178988576</v>
      </c>
      <c r="F24" s="123">
        <f>VLOOKUP(B24,选手名单!A:I,5,0)</f>
        <v>5000</v>
      </c>
      <c r="G24" s="128" t="str">
        <f>VLOOKUP(B24,选手名单!A:I,7,0)</f>
        <v>一,三</v>
      </c>
      <c r="H24"/>
      <c r="M24" s="66"/>
      <c r="Q24"/>
      <c r="R24" s="58"/>
      <c r="S24" s="60"/>
      <c r="U24"/>
      <c r="V24"/>
      <c r="W24" s="3"/>
    </row>
    <row r="25" customHeight="1" spans="2:23">
      <c r="B25" s="127">
        <v>4</v>
      </c>
      <c r="C25" s="162" t="str">
        <f>VLOOKUP(B25,选手名单!A:I,2,0)</f>
        <v>军</v>
      </c>
      <c r="D25" s="123">
        <f>VLOOKUP(B25,选手名单!A:I,6,0)</f>
        <v>45</v>
      </c>
      <c r="E25" s="123">
        <f>VLOOKUP(B25,选手名单!A:I,3,0)</f>
        <v>77006306</v>
      </c>
      <c r="F25" s="123">
        <f>VLOOKUP(B25,选手名单!A:I,5,0)</f>
        <v>4600</v>
      </c>
      <c r="G25" s="128" t="str">
        <f>VLOOKUP(B25,选手名单!A:I,7,0)</f>
        <v>三,四</v>
      </c>
      <c r="H25" s="130"/>
      <c r="M25" s="76"/>
      <c r="Q25" s="61" t="s">
        <v>732</v>
      </c>
      <c r="R25" s="58"/>
      <c r="S25" s="60"/>
      <c r="T25" s="58"/>
      <c r="U25"/>
      <c r="V25"/>
      <c r="W25" s="3"/>
    </row>
    <row r="26" customHeight="1" spans="2:23">
      <c r="B26" s="127">
        <v>11</v>
      </c>
      <c r="C26" s="162" t="str">
        <f>VLOOKUP(B26,选手名单!A:I,2,0)</f>
        <v>iceice</v>
      </c>
      <c r="D26" s="123">
        <f>VLOOKUP(B26,选手名单!A:I,6,0)</f>
        <v>45</v>
      </c>
      <c r="E26" s="123">
        <f>VLOOKUP(B26,选手名单!A:I,3,0)</f>
        <v>0</v>
      </c>
      <c r="F26" s="123">
        <f>VLOOKUP(B26,选手名单!A:I,5,0)</f>
        <v>5500</v>
      </c>
      <c r="G26" s="128" t="str">
        <f>VLOOKUP(B26,选手名单!A:I,7,0)</f>
        <v>四,五</v>
      </c>
      <c r="H26" s="130"/>
      <c r="M26" s="76"/>
      <c r="Q26" s="41"/>
      <c r="R26" s="59"/>
      <c r="S26" s="58"/>
      <c r="T26" s="58"/>
      <c r="U26"/>
      <c r="V26"/>
      <c r="W26" s="3"/>
    </row>
    <row r="27" customHeight="1" spans="2:8">
      <c r="B27" s="127">
        <v>14</v>
      </c>
      <c r="C27" s="162" t="str">
        <f>VLOOKUP(B27,选手名单!A:I,2,0)</f>
        <v>小橙皮～</v>
      </c>
      <c r="D27" s="123">
        <f>VLOOKUP(B27,选手名单!A:I,6,0)</f>
        <v>41</v>
      </c>
      <c r="E27" s="123">
        <f>VLOOKUP(B27,选手名单!A:I,3,0)</f>
        <v>228914641</v>
      </c>
      <c r="F27" s="123">
        <f>VLOOKUP(B27,选手名单!A:I,5,0)</f>
        <v>4600</v>
      </c>
      <c r="G27" s="128" t="str">
        <f>VLOOKUP(B27,选手名单!A:I,7,0)</f>
        <v>四,五</v>
      </c>
      <c r="H27" s="119"/>
    </row>
    <row r="28" customHeight="1" spans="2:8">
      <c r="B28" s="127">
        <v>17</v>
      </c>
      <c r="C28" s="162" t="str">
        <f>VLOOKUP(B28,选手名单!A:I,2,0)</f>
        <v>寥寥</v>
      </c>
      <c r="D28" s="123">
        <f>VLOOKUP(B28,选手名单!A:I,6,0)</f>
        <v>40</v>
      </c>
      <c r="E28" s="123">
        <f>VLOOKUP(B28,选手名单!A:I,3,0)</f>
        <v>158643480</v>
      </c>
      <c r="F28" s="123">
        <f>VLOOKUP(B28,选手名单!A:I,5,0)</f>
        <v>4000</v>
      </c>
      <c r="G28" s="128" t="str">
        <f>VLOOKUP(B28,选手名单!A:I,7,0)</f>
        <v>一,二,三,四,五</v>
      </c>
      <c r="H28" s="130"/>
    </row>
    <row r="29" customHeight="1" spans="2:8">
      <c r="B29" s="82">
        <v>21</v>
      </c>
      <c r="C29" s="162" t="str">
        <f>VLOOKUP(B29,选手名单!A:I,2,0)</f>
        <v>游牧骑兵</v>
      </c>
      <c r="D29" s="123">
        <f>VLOOKUP(B29,选手名单!A:I,6,0)</f>
        <v>40</v>
      </c>
      <c r="E29" s="123">
        <f>VLOOKUP(B29,选手名单!A:I,3,0)</f>
        <v>351772086</v>
      </c>
      <c r="F29" s="123">
        <f>VLOOKUP(B29,选手名单!A:I,5,0)</f>
        <v>3000</v>
      </c>
      <c r="G29" s="128" t="str">
        <f>VLOOKUP(B29,选手名单!A:I,7,0)</f>
        <v>三,四,五</v>
      </c>
      <c r="H29"/>
    </row>
    <row r="30" customHeight="1" spans="2:8">
      <c r="B30" s="127">
        <v>9</v>
      </c>
      <c r="C30" s="162" t="str">
        <f>VLOOKUP(B30,选手名单!A:I,2,0)</f>
        <v>starling</v>
      </c>
      <c r="D30" s="123">
        <f>VLOOKUP(B30,选手名单!A:I,6,0)</f>
        <v>34</v>
      </c>
      <c r="E30" s="123">
        <f>VLOOKUP(B30,选手名单!A:I,3,0)</f>
        <v>400294058</v>
      </c>
      <c r="F30" s="123">
        <f>VLOOKUP(B30,选手名单!A:I,5,0)</f>
        <v>4000</v>
      </c>
      <c r="G30" s="128" t="str">
        <f>VLOOKUP(B30,选手名单!A:I,7,0)</f>
        <v>四,五</v>
      </c>
      <c r="H30" s="130"/>
    </row>
    <row r="31" customHeight="1" spans="2:8">
      <c r="B31" s="127">
        <v>20</v>
      </c>
      <c r="C31" s="162" t="str">
        <f>VLOOKUP(B31,选手名单!A:I,2,0)</f>
        <v>芋头芭乐脑袋</v>
      </c>
      <c r="D31" s="123">
        <f>VLOOKUP(B31,选手名单!A:I,6,0)</f>
        <v>34</v>
      </c>
      <c r="E31" s="123">
        <f>VLOOKUP(B31,选手名单!A:I,3,0)</f>
        <v>168661508</v>
      </c>
      <c r="F31" s="123">
        <f>VLOOKUP(B31,选手名单!A:I,5,0)</f>
        <v>3400</v>
      </c>
      <c r="G31" s="128" t="str">
        <f>VLOOKUP(B31,选手名单!A:I,7,0)</f>
        <v>四,五</v>
      </c>
      <c r="H31" s="130"/>
    </row>
    <row r="32" customHeight="1" spans="2:8">
      <c r="B32" s="82"/>
      <c r="C32" s="167"/>
      <c r="D32" s="123"/>
      <c r="E32" s="123"/>
      <c r="F32" s="123"/>
      <c r="G32" s="128"/>
      <c r="H32"/>
    </row>
    <row r="33" customHeight="1" spans="2:8">
      <c r="B33" s="82"/>
      <c r="C33" s="167"/>
      <c r="D33" s="123"/>
      <c r="E33" s="123"/>
      <c r="F33" s="123"/>
      <c r="G33" s="128"/>
      <c r="H33"/>
    </row>
    <row r="34" customHeight="1" spans="2:8">
      <c r="B34" s="82"/>
      <c r="C34" s="167"/>
      <c r="D34" s="123"/>
      <c r="E34" s="123"/>
      <c r="F34" s="123"/>
      <c r="G34" s="128"/>
      <c r="H34"/>
    </row>
    <row r="35" customHeight="1" spans="2:8">
      <c r="B35" s="82"/>
      <c r="C35" s="167"/>
      <c r="D35" s="123"/>
      <c r="E35" s="123"/>
      <c r="F35" s="123"/>
      <c r="G35" s="128"/>
      <c r="H35"/>
    </row>
    <row r="36" customHeight="1" spans="2:8">
      <c r="B36" s="82"/>
      <c r="C36" s="167"/>
      <c r="D36" s="123"/>
      <c r="E36" s="123"/>
      <c r="F36" s="123"/>
      <c r="G36" s="128"/>
      <c r="H36"/>
    </row>
    <row r="37" customHeight="1" spans="2:8">
      <c r="B37"/>
      <c r="C37"/>
      <c r="H37"/>
    </row>
    <row r="38" customHeight="1" spans="2:8">
      <c r="B38"/>
      <c r="C38"/>
      <c r="H38"/>
    </row>
    <row r="39" customHeight="1" spans="2:8">
      <c r="B39"/>
      <c r="C39"/>
      <c r="H39"/>
    </row>
    <row r="40" customHeight="1" spans="2:8">
      <c r="B40"/>
      <c r="C40"/>
      <c r="H40"/>
    </row>
    <row r="41" customHeight="1" spans="2:8">
      <c r="B41"/>
      <c r="C41"/>
      <c r="H41"/>
    </row>
    <row r="42" customHeight="1" spans="2:8">
      <c r="B42"/>
      <c r="C42"/>
      <c r="H42"/>
    </row>
    <row r="43" customHeight="1" spans="2:8">
      <c r="B43"/>
      <c r="C43"/>
      <c r="H43"/>
    </row>
  </sheetData>
  <mergeCells count="26">
    <mergeCell ref="N1:T1"/>
    <mergeCell ref="I2:J2"/>
    <mergeCell ref="K2:L2"/>
    <mergeCell ref="I9:J9"/>
    <mergeCell ref="K9:L9"/>
    <mergeCell ref="I16:J16"/>
    <mergeCell ref="K16:L16"/>
    <mergeCell ref="N2:N3"/>
    <mergeCell ref="N4:N5"/>
    <mergeCell ref="N6:N7"/>
    <mergeCell ref="N9:N10"/>
    <mergeCell ref="N11:N12"/>
    <mergeCell ref="N13:N14"/>
    <mergeCell ref="N16:N17"/>
    <mergeCell ref="N18:N19"/>
    <mergeCell ref="N20:N21"/>
    <mergeCell ref="Q4:Q5"/>
    <mergeCell ref="Q6:Q10"/>
    <mergeCell ref="Q11:Q12"/>
    <mergeCell ref="Q18:Q19"/>
    <mergeCell ref="Q20:Q24"/>
    <mergeCell ref="Q25:Q26"/>
    <mergeCell ref="T8:T9"/>
    <mergeCell ref="T10:T21"/>
    <mergeCell ref="T22:T23"/>
    <mergeCell ref="W13:W17"/>
  </mergeCells>
  <conditionalFormatting sqref="D2:D36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36 D44:D1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315内战"/>
  <dimension ref="A1:W45"/>
  <sheetViews>
    <sheetView workbookViewId="0">
      <selection activeCell="A1" sqref="A1"/>
    </sheetView>
  </sheetViews>
  <sheetFormatPr defaultColWidth="14" defaultRowHeight="18" customHeight="1"/>
  <cols>
    <col min="1" max="1" width="2.828125" style="130" customWidth="1"/>
    <col min="2" max="2" width="8.7734375" style="119" customWidth="1"/>
    <col min="3" max="3" width="13.671875" style="34"/>
    <col min="4" max="4" width="9.4453125" customWidth="1"/>
    <col min="8" max="8" width="7.9609375" style="3" customWidth="1"/>
    <col min="9" max="12" width="13.671875" style="34"/>
    <col min="13" max="13" width="3.1015625" style="34" customWidth="1"/>
    <col min="14" max="14" width="13.671875" style="34"/>
    <col min="15" max="16" width="3.5078125" style="34" customWidth="1"/>
    <col min="17" max="17" width="13.671875" style="34"/>
    <col min="18" max="19" width="3.5078125" style="34" customWidth="1"/>
    <col min="20" max="20" width="13.671875" style="34"/>
    <col min="21" max="22" width="3.5078125" style="34" customWidth="1"/>
  </cols>
  <sheetData>
    <row r="1" customHeight="1" spans="1:23">
      <c r="A1" s="131"/>
      <c r="B1" s="121" t="s">
        <v>720</v>
      </c>
      <c r="C1" s="121" t="s">
        <v>270</v>
      </c>
      <c r="D1" s="84" t="s">
        <v>721</v>
      </c>
      <c r="E1" s="84" t="s">
        <v>271</v>
      </c>
      <c r="F1" s="84" t="s">
        <v>722</v>
      </c>
      <c r="G1" s="84" t="s">
        <v>226</v>
      </c>
      <c r="H1" s="84" t="s">
        <v>723</v>
      </c>
      <c r="J1" s="35"/>
      <c r="K1" s="35"/>
      <c r="L1" s="35"/>
      <c r="M1" s="35"/>
      <c r="N1" s="35" t="s">
        <v>724</v>
      </c>
      <c r="O1"/>
      <c r="P1"/>
      <c r="Q1"/>
      <c r="R1"/>
      <c r="S1"/>
      <c r="T1"/>
      <c r="U1"/>
      <c r="V1"/>
      <c r="W1" s="3"/>
    </row>
    <row r="2" customHeight="1" spans="2:22">
      <c r="B2" s="127">
        <v>2</v>
      </c>
      <c r="C2" s="167" t="str">
        <f>VLOOKUP(B2,选手名单!A:I,2,0)</f>
        <v>一颗大白菜</v>
      </c>
      <c r="D2" s="123">
        <f>VLOOKUP(B2,选手名单!A:I,6,0)</f>
        <v>75</v>
      </c>
      <c r="E2" s="123">
        <f>VLOOKUP(B2,选手名单!A:I,3,0)</f>
        <v>186753076</v>
      </c>
      <c r="F2" s="123">
        <f>VLOOKUP(B2,选手名单!A:I,5,0)</f>
        <v>7500</v>
      </c>
      <c r="G2" s="128" t="str">
        <f>VLOOKUP(B2,选手名单!A:I,7,0)</f>
        <v>一,二,三</v>
      </c>
      <c r="H2" s="127"/>
      <c r="I2" s="99" t="s">
        <v>572</v>
      </c>
      <c r="J2" s="41"/>
      <c r="K2" s="153" t="s">
        <v>733</v>
      </c>
      <c r="L2" s="154"/>
      <c r="M2" s="66"/>
      <c r="N2" s="86" t="s">
        <v>572</v>
      </c>
      <c r="O2" s="58"/>
      <c r="P2" s="58"/>
      <c r="Q2" s="1"/>
      <c r="R2" s="58"/>
      <c r="S2" s="58"/>
      <c r="T2" s="58"/>
      <c r="U2"/>
      <c r="V2"/>
    </row>
    <row r="3" customHeight="1" spans="2:22">
      <c r="B3" s="127">
        <v>3</v>
      </c>
      <c r="C3" s="167" t="str">
        <f>VLOOKUP(B3,选手名单!A:I,2,0)</f>
        <v>睡衣大大</v>
      </c>
      <c r="D3" s="123">
        <f>VLOOKUP(B3,选手名单!A:I,6,0)</f>
        <v>63</v>
      </c>
      <c r="E3" s="123">
        <f>VLOOKUP(B3,选手名单!A:I,3,0)</f>
        <v>104465635</v>
      </c>
      <c r="F3" s="123">
        <f>VLOOKUP(B3,选手名单!A:I,5,0)</f>
        <v>6000</v>
      </c>
      <c r="G3" s="128" t="str">
        <f>VLOOKUP(B3,选手名单!A:I,7,0)</f>
        <v>一,二</v>
      </c>
      <c r="H3" s="127"/>
      <c r="I3" s="99" t="s">
        <v>642</v>
      </c>
      <c r="J3" s="99">
        <v>25</v>
      </c>
      <c r="K3" s="69" t="s">
        <v>643</v>
      </c>
      <c r="L3" s="69">
        <v>40</v>
      </c>
      <c r="M3" s="66"/>
      <c r="N3" s="41"/>
      <c r="O3" s="59"/>
      <c r="P3" s="60"/>
      <c r="Q3" s="51"/>
      <c r="R3" s="58"/>
      <c r="S3" s="58"/>
      <c r="T3" s="58"/>
      <c r="U3"/>
      <c r="V3"/>
    </row>
    <row r="4" customHeight="1" spans="2:22">
      <c r="B4" s="127">
        <v>4</v>
      </c>
      <c r="C4" s="167" t="str">
        <f>VLOOKUP(B4,选手名单!A:I,2,0)</f>
        <v>军</v>
      </c>
      <c r="D4" s="123">
        <f>VLOOKUP(B4,选手名单!A:I,6,0)</f>
        <v>45</v>
      </c>
      <c r="E4" s="123">
        <f>VLOOKUP(B4,选手名单!A:I,3,0)</f>
        <v>77006306</v>
      </c>
      <c r="F4" s="123">
        <f>VLOOKUP(B4,选手名单!A:I,5,0)</f>
        <v>4600</v>
      </c>
      <c r="G4" s="128" t="str">
        <f>VLOOKUP(B4,选手名单!A:I,7,0)</f>
        <v>三,四</v>
      </c>
      <c r="H4" s="127"/>
      <c r="I4" s="99" t="s">
        <v>474</v>
      </c>
      <c r="J4" s="99">
        <v>43</v>
      </c>
      <c r="K4" s="67" t="s">
        <v>516</v>
      </c>
      <c r="L4" s="67">
        <v>40</v>
      </c>
      <c r="M4" s="76"/>
      <c r="N4" s="63" t="s">
        <v>734</v>
      </c>
      <c r="O4" s="58"/>
      <c r="P4" s="60"/>
      <c r="Q4" s="86"/>
      <c r="R4"/>
      <c r="S4"/>
      <c r="T4"/>
      <c r="U4"/>
      <c r="V4"/>
    </row>
    <row r="5" customHeight="1" spans="2:22">
      <c r="B5" s="127">
        <v>5</v>
      </c>
      <c r="C5" s="167" t="str">
        <f>VLOOKUP(B5,选手名单!A:I,2,0)</f>
        <v>蜡笔小雪</v>
      </c>
      <c r="D5" s="123">
        <f>VLOOKUP(B5,选手名单!A:I,6,0)</f>
        <v>60</v>
      </c>
      <c r="E5" s="123">
        <f>VLOOKUP(B5,选手名单!A:I,3,0)</f>
        <v>154029585</v>
      </c>
      <c r="F5" s="123">
        <f>VLOOKUP(B5,选手名单!A:I,5,0)</f>
        <v>6000</v>
      </c>
      <c r="G5" s="128" t="str">
        <f>VLOOKUP(B5,选手名单!A:I,7,0)</f>
        <v>三</v>
      </c>
      <c r="H5" s="127"/>
      <c r="I5" s="99" t="s">
        <v>184</v>
      </c>
      <c r="J5" s="99">
        <v>40</v>
      </c>
      <c r="K5" s="67" t="s">
        <v>143</v>
      </c>
      <c r="L5" s="67">
        <v>28</v>
      </c>
      <c r="M5" s="76"/>
      <c r="N5"/>
      <c r="O5" s="58"/>
      <c r="P5" s="62"/>
      <c r="Q5" s="41"/>
      <c r="R5"/>
      <c r="S5"/>
      <c r="T5"/>
      <c r="U5"/>
      <c r="V5"/>
    </row>
    <row r="6" customHeight="1" spans="2:22">
      <c r="B6" s="127">
        <v>13</v>
      </c>
      <c r="C6" s="167" t="str">
        <f>VLOOKUP(B6,选手名单!A:I,2,0)</f>
        <v>赤夜紫雨</v>
      </c>
      <c r="D6" s="123">
        <f>VLOOKUP(B6,选手名单!A:I,6,0)</f>
        <v>89</v>
      </c>
      <c r="E6" s="123">
        <f>VLOOKUP(B6,选手名单!A:I,3,0)</f>
        <v>187933845</v>
      </c>
      <c r="F6" s="123">
        <f>VLOOKUP(B6,选手名单!A:I,5,0)</f>
        <v>8100</v>
      </c>
      <c r="G6" s="128" t="str">
        <f>VLOOKUP(B6,选手名单!A:I,7,0)</f>
        <v>一,三</v>
      </c>
      <c r="H6" s="127"/>
      <c r="I6" s="99" t="s">
        <v>546</v>
      </c>
      <c r="J6" s="99">
        <v>32</v>
      </c>
      <c r="K6" s="67" t="s">
        <v>179</v>
      </c>
      <c r="L6" s="67">
        <v>34</v>
      </c>
      <c r="M6" s="75"/>
      <c r="N6" s="114" t="s">
        <v>733</v>
      </c>
      <c r="O6" s="58"/>
      <c r="P6" s="60"/>
      <c r="Q6"/>
      <c r="R6"/>
      <c r="S6"/>
      <c r="T6"/>
      <c r="U6"/>
      <c r="V6"/>
    </row>
    <row r="7" customHeight="1" spans="2:22">
      <c r="B7" s="127">
        <v>8</v>
      </c>
      <c r="C7" s="167" t="str">
        <f>VLOOKUP(B7,选手名单!A:I,2,0)</f>
        <v>。。~</v>
      </c>
      <c r="D7" s="123">
        <f>VLOOKUP(B7,选手名单!A:I,6,0)</f>
        <v>50</v>
      </c>
      <c r="E7" s="123">
        <f>VLOOKUP(B7,选手名单!A:I,3,0)</f>
        <v>136537289</v>
      </c>
      <c r="F7" s="123">
        <f>VLOOKUP(B7,选手名单!A:I,5,0)</f>
        <v>5000</v>
      </c>
      <c r="G7" s="128" t="str">
        <f>VLOOKUP(B7,选手名单!A:I,7,0)</f>
        <v>一,二,三,四</v>
      </c>
      <c r="H7" s="127"/>
      <c r="I7" s="99" t="s">
        <v>577</v>
      </c>
      <c r="J7" s="99">
        <v>20</v>
      </c>
      <c r="K7" s="67" t="s">
        <v>157</v>
      </c>
      <c r="L7" s="67">
        <v>34</v>
      </c>
      <c r="M7" s="75"/>
      <c r="N7" s="41"/>
      <c r="O7" s="59"/>
      <c r="P7" s="58"/>
      <c r="Q7"/>
      <c r="R7"/>
      <c r="S7"/>
      <c r="T7"/>
      <c r="U7"/>
      <c r="V7"/>
    </row>
    <row r="8" customHeight="1" spans="2:22">
      <c r="B8" s="127">
        <v>11</v>
      </c>
      <c r="C8" s="167" t="str">
        <f>VLOOKUP(B8,选手名单!A:I,2,0)</f>
        <v>iceice</v>
      </c>
      <c r="D8" s="123">
        <f>VLOOKUP(B8,选手名单!A:I,6,0)</f>
        <v>45</v>
      </c>
      <c r="E8" s="123">
        <f>VLOOKUP(B8,选手名单!A:I,3,0)</f>
        <v>0</v>
      </c>
      <c r="F8" s="123">
        <f>VLOOKUP(B8,选手名单!A:I,5,0)</f>
        <v>5500</v>
      </c>
      <c r="G8" s="128" t="str">
        <f>VLOOKUP(B8,选手名单!A:I,7,0)</f>
        <v>四,五</v>
      </c>
      <c r="H8" s="127"/>
      <c r="I8" s="99" t="s">
        <v>727</v>
      </c>
      <c r="J8" s="99">
        <f>SUM(J3:J7)</f>
        <v>160</v>
      </c>
      <c r="K8" s="67" t="s">
        <v>727</v>
      </c>
      <c r="L8" s="67">
        <f>SUM(L3:L7)</f>
        <v>176</v>
      </c>
      <c r="M8" s="78"/>
      <c r="N8" s="49"/>
      <c r="O8" s="49"/>
      <c r="P8" s="49"/>
      <c r="Q8"/>
      <c r="R8"/>
      <c r="S8"/>
      <c r="T8"/>
      <c r="U8"/>
      <c r="V8"/>
    </row>
    <row r="9" customHeight="1" spans="2:22">
      <c r="B9" s="127">
        <v>7</v>
      </c>
      <c r="C9" s="167" t="str">
        <f>VLOOKUP(B9,选手名单!A:I,2,0)</f>
        <v>大蟑螂</v>
      </c>
      <c r="D9" s="123">
        <f>VLOOKUP(B9,选手名单!A:I,6,0)</f>
        <v>87</v>
      </c>
      <c r="E9" s="123">
        <f>VLOOKUP(B9,选手名单!A:I,3,0)</f>
        <v>341670770</v>
      </c>
      <c r="F9" s="123">
        <f>VLOOKUP(B9,选手名单!A:I,5,0)</f>
        <v>9000</v>
      </c>
      <c r="G9" s="128" t="str">
        <f>VLOOKUP(B9,选手名单!A:I,7,0)</f>
        <v>二</v>
      </c>
      <c r="H9" s="127"/>
      <c r="I9"/>
      <c r="J9"/>
      <c r="K9"/>
      <c r="L9"/>
      <c r="M9" s="66"/>
      <c r="N9" s="51"/>
      <c r="O9" s="58"/>
      <c r="P9" s="58"/>
      <c r="Q9"/>
      <c r="R9"/>
      <c r="S9"/>
      <c r="T9"/>
      <c r="U9"/>
      <c r="V9"/>
    </row>
    <row r="10" customHeight="1" spans="9:22">
      <c r="I10"/>
      <c r="J10"/>
      <c r="K10"/>
      <c r="L10"/>
      <c r="M10" s="66"/>
      <c r="N10"/>
      <c r="O10"/>
      <c r="P10"/>
      <c r="Q10"/>
      <c r="R10"/>
      <c r="S10"/>
      <c r="T10"/>
      <c r="U10"/>
      <c r="V10"/>
    </row>
    <row r="11" customHeight="1" spans="8:22">
      <c r="H11" s="127"/>
      <c r="I11"/>
      <c r="J11"/>
      <c r="K11"/>
      <c r="L11"/>
      <c r="M11" s="76"/>
      <c r="N11"/>
      <c r="O11"/>
      <c r="P11"/>
      <c r="Q11"/>
      <c r="R11"/>
      <c r="S11"/>
      <c r="T11"/>
      <c r="U11"/>
      <c r="V11"/>
    </row>
    <row r="12" customHeight="1" spans="8:22">
      <c r="H12" s="127"/>
      <c r="I12"/>
      <c r="J12"/>
      <c r="K12"/>
      <c r="L12"/>
      <c r="M12" s="76"/>
      <c r="N12"/>
      <c r="O12"/>
      <c r="P12"/>
      <c r="Q12"/>
      <c r="R12"/>
      <c r="S12"/>
      <c r="T12"/>
      <c r="U12"/>
      <c r="V12"/>
    </row>
    <row r="13" customHeight="1" spans="8:22">
      <c r="H13" s="127"/>
      <c r="I13"/>
      <c r="J13"/>
      <c r="K13"/>
      <c r="L13"/>
      <c r="M13" s="75"/>
      <c r="N13"/>
      <c r="O13"/>
      <c r="P13"/>
      <c r="Q13"/>
      <c r="R13"/>
      <c r="S13" s="58"/>
      <c r="T13"/>
      <c r="U13"/>
      <c r="V13"/>
    </row>
    <row r="14" customHeight="1" spans="8:22">
      <c r="H14" s="127"/>
      <c r="I14"/>
      <c r="J14"/>
      <c r="K14"/>
      <c r="L14"/>
      <c r="M14" s="75"/>
      <c r="N14"/>
      <c r="O14"/>
      <c r="P14"/>
      <c r="Q14"/>
      <c r="R14"/>
      <c r="S14" s="58"/>
      <c r="T14"/>
      <c r="U14"/>
      <c r="V14"/>
    </row>
    <row r="15" customHeight="1" spans="8:22">
      <c r="H15" s="123"/>
      <c r="I15"/>
      <c r="J15"/>
      <c r="K15"/>
      <c r="L15"/>
      <c r="M15"/>
      <c r="N15"/>
      <c r="O15"/>
      <c r="P15"/>
      <c r="Q15"/>
      <c r="R15"/>
      <c r="S15" s="58"/>
      <c r="T15"/>
      <c r="U15"/>
      <c r="V15"/>
    </row>
    <row r="16" customHeight="1" spans="2:22">
      <c r="B16" s="127">
        <v>15</v>
      </c>
      <c r="C16" s="156" t="str">
        <f>VLOOKUP(B16,选手名单!A:I,2,0)</f>
        <v>End</v>
      </c>
      <c r="D16" s="123">
        <f>VLOOKUP(B16,选手名单!A:I,6,0)</f>
        <v>58</v>
      </c>
      <c r="E16" s="123">
        <f>VLOOKUP(B16,选手名单!A:I,3,0)</f>
        <v>354618808</v>
      </c>
      <c r="F16" s="123">
        <f>VLOOKUP(B16,选手名单!A:I,5,0)</f>
        <v>6000</v>
      </c>
      <c r="G16" s="128" t="str">
        <f>VLOOKUP(B16,选手名单!A:I,7,0)</f>
        <v>一,五</v>
      </c>
      <c r="H16" s="127"/>
      <c r="I16"/>
      <c r="J16"/>
      <c r="K16"/>
      <c r="L16"/>
      <c r="M16" s="66"/>
      <c r="N16"/>
      <c r="O16"/>
      <c r="P16"/>
      <c r="Q16"/>
      <c r="R16"/>
      <c r="S16"/>
      <c r="T16"/>
      <c r="U16"/>
      <c r="V16"/>
    </row>
    <row r="17" customHeight="1" spans="2:22">
      <c r="B17" s="127">
        <v>16</v>
      </c>
      <c r="C17" s="167" t="str">
        <f>VLOOKUP(B17,选手名单!A:I,2,0)</f>
        <v>你也喜欢河马嘛</v>
      </c>
      <c r="D17" s="123">
        <f>VLOOKUP(B17,选手名单!A:I,6,0)</f>
        <v>53</v>
      </c>
      <c r="E17" s="123">
        <f>VLOOKUP(B17,选手名单!A:I,3,0)</f>
        <v>189497913</v>
      </c>
      <c r="F17" s="123">
        <f>VLOOKUP(B17,选手名单!A:I,5,0)</f>
        <v>5300</v>
      </c>
      <c r="G17" s="128" t="str">
        <f>VLOOKUP(B17,选手名单!A:I,7,0)</f>
        <v>一,二,三,四,五</v>
      </c>
      <c r="H17" s="127"/>
      <c r="I17"/>
      <c r="J17"/>
      <c r="K17"/>
      <c r="L17"/>
      <c r="M17" s="66"/>
      <c r="N17"/>
      <c r="O17"/>
      <c r="P17"/>
      <c r="Q17"/>
      <c r="R17" s="58"/>
      <c r="S17" s="58"/>
      <c r="T17"/>
      <c r="U17"/>
      <c r="V17"/>
    </row>
    <row r="18" customHeight="1" spans="2:22">
      <c r="B18" s="127">
        <v>17</v>
      </c>
      <c r="C18" s="156" t="str">
        <f>VLOOKUP(B18,选手名单!A:I,2,0)</f>
        <v>寥寥</v>
      </c>
      <c r="D18" s="123">
        <f>VLOOKUP(B18,选手名单!A:I,6,0)</f>
        <v>40</v>
      </c>
      <c r="E18" s="123">
        <f>VLOOKUP(B18,选手名单!A:I,3,0)</f>
        <v>158643480</v>
      </c>
      <c r="F18" s="123">
        <f>VLOOKUP(B18,选手名单!A:I,5,0)</f>
        <v>4000</v>
      </c>
      <c r="G18" s="128" t="str">
        <f>VLOOKUP(B18,选手名单!A:I,7,0)</f>
        <v>一,二,三,四,五</v>
      </c>
      <c r="H18" s="127"/>
      <c r="I18"/>
      <c r="J18"/>
      <c r="K18"/>
      <c r="L18"/>
      <c r="M18" s="76"/>
      <c r="N18"/>
      <c r="O18"/>
      <c r="P18"/>
      <c r="Q18"/>
      <c r="R18" s="58"/>
      <c r="S18" s="58"/>
      <c r="T18"/>
      <c r="U18"/>
      <c r="V18"/>
    </row>
    <row r="19" customHeight="1" spans="2:22">
      <c r="B19" s="127">
        <v>18</v>
      </c>
      <c r="C19" s="167" t="str">
        <f>VLOOKUP(B19,选手名单!A:I,2,0)</f>
        <v>王亚祈</v>
      </c>
      <c r="D19" s="123">
        <f>VLOOKUP(B19,选手名单!A:I,6,0)</f>
        <v>55</v>
      </c>
      <c r="E19" s="123">
        <f>VLOOKUP(B19,选手名单!A:I,3,0)</f>
        <v>417868870</v>
      </c>
      <c r="F19" s="123">
        <f>VLOOKUP(B19,选手名单!A:I,5,0)</f>
        <v>5500</v>
      </c>
      <c r="G19" s="128" t="str">
        <f>VLOOKUP(B19,选手名单!A:I,7,0)</f>
        <v>一,四,五</v>
      </c>
      <c r="H19" s="127"/>
      <c r="I19"/>
      <c r="J19"/>
      <c r="K19"/>
      <c r="L19"/>
      <c r="M19" s="76"/>
      <c r="N19"/>
      <c r="O19"/>
      <c r="P19"/>
      <c r="Q19"/>
      <c r="R19"/>
      <c r="S19"/>
      <c r="T19"/>
      <c r="U19"/>
      <c r="V19"/>
    </row>
    <row r="20" customHeight="1" spans="2:22">
      <c r="B20" s="127">
        <v>19</v>
      </c>
      <c r="C20" s="167">
        <f>VLOOKUP(B20,选手名单!A:I,2,0)</f>
        <v>21</v>
      </c>
      <c r="D20" s="123">
        <f>VLOOKUP(B20,选手名单!A:I,6,0)</f>
        <v>75</v>
      </c>
      <c r="E20" s="123">
        <f>VLOOKUP(B20,选手名单!A:I,3,0)</f>
        <v>277443592</v>
      </c>
      <c r="F20" s="123">
        <f>VLOOKUP(B20,选手名单!A:I,5,0)</f>
        <v>6800</v>
      </c>
      <c r="G20" s="128" t="str">
        <f>VLOOKUP(B20,选手名单!A:I,7,0)</f>
        <v>一</v>
      </c>
      <c r="H20" s="123"/>
      <c r="I20"/>
      <c r="J20"/>
      <c r="K20"/>
      <c r="L20"/>
      <c r="M20" s="75"/>
      <c r="N20"/>
      <c r="O20"/>
      <c r="P20"/>
      <c r="Q20"/>
      <c r="R20"/>
      <c r="S20"/>
      <c r="T20"/>
      <c r="U20"/>
      <c r="V20"/>
    </row>
    <row r="21" customHeight="1" spans="2:22">
      <c r="B21" s="127">
        <v>20</v>
      </c>
      <c r="C21" s="167" t="str">
        <f>VLOOKUP(B21,选手名单!A:I,2,0)</f>
        <v>芋头芭乐脑袋</v>
      </c>
      <c r="D21" s="123">
        <f>VLOOKUP(B21,选手名单!A:I,6,0)</f>
        <v>34</v>
      </c>
      <c r="E21" s="123">
        <f>VLOOKUP(B21,选手名单!A:I,3,0)</f>
        <v>168661508</v>
      </c>
      <c r="F21" s="123">
        <f>VLOOKUP(B21,选手名单!A:I,5,0)</f>
        <v>3400</v>
      </c>
      <c r="G21" s="128" t="str">
        <f>VLOOKUP(B21,选手名单!A:I,7,0)</f>
        <v>四,五</v>
      </c>
      <c r="H21" s="127"/>
      <c r="I21"/>
      <c r="J21"/>
      <c r="K21"/>
      <c r="L21"/>
      <c r="M21" s="75"/>
      <c r="N21"/>
      <c r="O21"/>
      <c r="P21"/>
      <c r="Q21"/>
      <c r="R21"/>
      <c r="S21"/>
      <c r="T21"/>
      <c r="U21"/>
      <c r="V21"/>
    </row>
    <row r="22" customHeight="1" spans="2:22">
      <c r="B22" s="127">
        <v>7</v>
      </c>
      <c r="C22" s="167" t="str">
        <f>VLOOKUP(B22,选手名单!A:I,2,0)</f>
        <v>大蟑螂</v>
      </c>
      <c r="D22" s="123">
        <f>VLOOKUP(B22,选手名单!A:I,6,0)</f>
        <v>87</v>
      </c>
      <c r="E22" s="123">
        <f>VLOOKUP(B22,选手名单!A:I,3,0)</f>
        <v>341670770</v>
      </c>
      <c r="F22" s="123">
        <f>VLOOKUP(B22,选手名单!A:I,5,0)</f>
        <v>9000</v>
      </c>
      <c r="G22" s="128" t="str">
        <f>VLOOKUP(B22,选手名单!A:I,7,0)</f>
        <v>二</v>
      </c>
      <c r="H22"/>
      <c r="I22"/>
      <c r="J22"/>
      <c r="K22"/>
      <c r="L22"/>
      <c r="M22" s="78"/>
      <c r="N22"/>
      <c r="O22"/>
      <c r="P22"/>
      <c r="Q22"/>
      <c r="R22"/>
      <c r="S22"/>
      <c r="T22"/>
      <c r="U22"/>
      <c r="V22"/>
    </row>
    <row r="23" customHeight="1" spans="2:22">
      <c r="B23" s="127">
        <v>9</v>
      </c>
      <c r="C23" s="167" t="str">
        <f>VLOOKUP(B23,选手名单!A:I,2,0)</f>
        <v>starling</v>
      </c>
      <c r="D23" s="123">
        <f>VLOOKUP(B23,选手名单!A:I,6,0)</f>
        <v>34</v>
      </c>
      <c r="E23" s="123">
        <f>VLOOKUP(B23,选手名单!A:I,3,0)</f>
        <v>400294058</v>
      </c>
      <c r="F23" s="123">
        <f>VLOOKUP(B23,选手名单!A:I,5,0)</f>
        <v>4000</v>
      </c>
      <c r="G23" s="128" t="str">
        <f>VLOOKUP(B23,选手名单!A:I,7,0)</f>
        <v>四,五</v>
      </c>
      <c r="H23"/>
      <c r="I23"/>
      <c r="J23"/>
      <c r="K23"/>
      <c r="L23"/>
      <c r="M23" s="66"/>
      <c r="N23"/>
      <c r="O23"/>
      <c r="P23"/>
      <c r="Q23"/>
      <c r="R23"/>
      <c r="S23"/>
      <c r="T23"/>
      <c r="U23"/>
      <c r="V23"/>
    </row>
    <row r="24" customHeight="1" spans="2:22">
      <c r="B24" s="127">
        <v>10</v>
      </c>
      <c r="C24" s="167" t="str">
        <f>VLOOKUP(B24,选手名单!A:I,2,0)</f>
        <v>阿魂呐</v>
      </c>
      <c r="D24" s="123">
        <f>VLOOKUP(B24,选手名单!A:I,6,0)</f>
        <v>81</v>
      </c>
      <c r="E24" s="123">
        <f>VLOOKUP(B24,选手名单!A:I,3,0)</f>
        <v>138558413</v>
      </c>
      <c r="F24" s="123">
        <f>VLOOKUP(B24,选手名单!A:I,5,0)</f>
        <v>7500</v>
      </c>
      <c r="G24" s="128" t="str">
        <f>VLOOKUP(B24,选手名单!A:I,7,0)</f>
        <v>二</v>
      </c>
      <c r="H24"/>
      <c r="I24"/>
      <c r="J24"/>
      <c r="K24"/>
      <c r="L24"/>
      <c r="M24" s="66"/>
      <c r="N24"/>
      <c r="O24"/>
      <c r="P24"/>
      <c r="Q24"/>
      <c r="R24"/>
      <c r="S24"/>
      <c r="T24"/>
      <c r="U24"/>
      <c r="V24"/>
    </row>
    <row r="25" customHeight="1" spans="2:22">
      <c r="B25" s="127">
        <v>12</v>
      </c>
      <c r="C25" s="167" t="str">
        <f>VLOOKUP(B25,选手名单!A:I,2,0)</f>
        <v>秋</v>
      </c>
      <c r="D25" s="123">
        <f>VLOOKUP(B25,选手名单!A:I,6,0)</f>
        <v>90</v>
      </c>
      <c r="E25" s="123">
        <f>VLOOKUP(B25,选手名单!A:I,3,0)</f>
        <v>1004877057</v>
      </c>
      <c r="F25" s="123">
        <f>VLOOKUP(B25,选手名单!A:I,5,0)</f>
        <v>9000</v>
      </c>
      <c r="G25" s="128" t="str">
        <f>VLOOKUP(B25,选手名单!A:I,7,0)</f>
        <v>一,二,三,四</v>
      </c>
      <c r="H25"/>
      <c r="I25"/>
      <c r="J25"/>
      <c r="K25"/>
      <c r="L25"/>
      <c r="M25" s="76"/>
      <c r="N25"/>
      <c r="O25"/>
      <c r="P25"/>
      <c r="Q25"/>
      <c r="R25"/>
      <c r="S25"/>
      <c r="T25"/>
      <c r="U25"/>
      <c r="V25"/>
    </row>
    <row r="26" customHeight="1" spans="2:22">
      <c r="B26" s="127">
        <v>13</v>
      </c>
      <c r="C26" s="167" t="str">
        <f>VLOOKUP(B26,选手名单!A:I,2,0)</f>
        <v>赤夜紫雨</v>
      </c>
      <c r="D26" s="123">
        <f>VLOOKUP(B26,选手名单!A:I,6,0)</f>
        <v>89</v>
      </c>
      <c r="E26" s="123">
        <f>VLOOKUP(B26,选手名单!A:I,3,0)</f>
        <v>187933845</v>
      </c>
      <c r="F26" s="123">
        <f>VLOOKUP(B26,选手名单!A:I,5,0)</f>
        <v>8100</v>
      </c>
      <c r="G26" s="128" t="str">
        <f>VLOOKUP(B26,选手名单!A:I,7,0)</f>
        <v>一,三</v>
      </c>
      <c r="H26"/>
      <c r="I26"/>
      <c r="J26"/>
      <c r="K26"/>
      <c r="L26"/>
      <c r="M26" s="76"/>
      <c r="N26"/>
      <c r="O26"/>
      <c r="P26"/>
      <c r="Q26"/>
      <c r="R26"/>
      <c r="S26"/>
      <c r="T26"/>
      <c r="U26"/>
      <c r="V26"/>
    </row>
    <row r="27" customHeight="1" spans="2:22">
      <c r="B27" s="127">
        <v>1</v>
      </c>
      <c r="C27" s="167" t="str">
        <f>VLOOKUP(B27,选手名单!A:I,2,0)</f>
        <v>笑败</v>
      </c>
      <c r="D27" s="123">
        <f>VLOOKUP(B27,选手名单!A:I,6,0)</f>
        <v>84</v>
      </c>
      <c r="E27" s="123">
        <f>VLOOKUP(B27,选手名单!A:I,3,0)</f>
        <v>106964785</v>
      </c>
      <c r="F27" s="123">
        <f>VLOOKUP(B27,选手名单!A:I,5,0)</f>
        <v>8330</v>
      </c>
      <c r="G27" s="128" t="str">
        <f>VLOOKUP(B27,选手名单!A:I,7,0)</f>
        <v>一</v>
      </c>
      <c r="H27" s="127"/>
      <c r="I27"/>
      <c r="J27"/>
      <c r="K27"/>
      <c r="L27"/>
      <c r="M27" s="75"/>
      <c r="N27"/>
      <c r="O27"/>
      <c r="P27"/>
      <c r="Q27"/>
      <c r="R27"/>
      <c r="S27"/>
      <c r="T27"/>
      <c r="U27"/>
      <c r="V27"/>
    </row>
    <row r="28" customHeight="1" spans="2:22">
      <c r="B28"/>
      <c r="C28"/>
      <c r="H28"/>
      <c r="I28"/>
      <c r="J28"/>
      <c r="K28"/>
      <c r="L28"/>
      <c r="M28" s="75"/>
      <c r="N28"/>
      <c r="O28"/>
      <c r="P28"/>
      <c r="Q28"/>
      <c r="R28"/>
      <c r="S28"/>
      <c r="T28"/>
      <c r="U28"/>
      <c r="V28"/>
    </row>
    <row r="29" customHeight="1" spans="2:22">
      <c r="B29"/>
      <c r="C29"/>
      <c r="H29"/>
      <c r="I29"/>
      <c r="J29"/>
      <c r="K29"/>
      <c r="L29"/>
      <c r="N29"/>
      <c r="O29"/>
      <c r="P29"/>
      <c r="Q29"/>
      <c r="R29"/>
      <c r="S29"/>
      <c r="T29"/>
      <c r="U29"/>
      <c r="V29"/>
    </row>
    <row r="30" customHeight="1" spans="2:22">
      <c r="B30"/>
      <c r="C30"/>
      <c r="H30"/>
      <c r="N30"/>
      <c r="O30"/>
      <c r="P30"/>
      <c r="Q30"/>
      <c r="R30"/>
      <c r="S30"/>
      <c r="T30"/>
      <c r="U30"/>
      <c r="V30"/>
    </row>
    <row r="31" customHeight="1" spans="2:22">
      <c r="B31"/>
      <c r="C31"/>
      <c r="H31"/>
      <c r="N31"/>
      <c r="O31"/>
      <c r="P31"/>
      <c r="Q31"/>
      <c r="R31"/>
      <c r="S31"/>
      <c r="T31"/>
      <c r="U31"/>
      <c r="V31"/>
    </row>
    <row r="32" customHeight="1" spans="2:22">
      <c r="B32"/>
      <c r="C32"/>
      <c r="H32"/>
      <c r="N32"/>
      <c r="O32"/>
      <c r="P32"/>
      <c r="Q32"/>
      <c r="R32"/>
      <c r="S32"/>
      <c r="T32"/>
      <c r="U32"/>
      <c r="V32"/>
    </row>
    <row r="33" customHeight="1" spans="2:22">
      <c r="B33"/>
      <c r="C33"/>
      <c r="H33"/>
      <c r="N33"/>
      <c r="O33"/>
      <c r="P33"/>
      <c r="Q33"/>
      <c r="R33"/>
      <c r="S33"/>
      <c r="T33"/>
      <c r="U33"/>
      <c r="V33"/>
    </row>
    <row r="34" customHeight="1" spans="2:22">
      <c r="B34"/>
      <c r="C34"/>
      <c r="H34"/>
      <c r="N34"/>
      <c r="O34"/>
      <c r="P34"/>
      <c r="Q34"/>
      <c r="R34"/>
      <c r="S34"/>
      <c r="T34"/>
      <c r="U34"/>
      <c r="V34"/>
    </row>
    <row r="35" customHeight="1" spans="2:22">
      <c r="B35"/>
      <c r="C35"/>
      <c r="H35"/>
      <c r="N35"/>
      <c r="O35"/>
      <c r="P35"/>
      <c r="Q35"/>
      <c r="R35"/>
      <c r="S35"/>
      <c r="T35"/>
      <c r="U35"/>
      <c r="V35"/>
    </row>
    <row r="36" customHeight="1" spans="2:22">
      <c r="B36"/>
      <c r="C36"/>
      <c r="H36"/>
      <c r="N36"/>
      <c r="O36"/>
      <c r="P36"/>
      <c r="Q36"/>
      <c r="R36"/>
      <c r="S36"/>
      <c r="T36"/>
      <c r="U36"/>
      <c r="V36"/>
    </row>
    <row r="37" customHeight="1" spans="2:22">
      <c r="B37"/>
      <c r="C37"/>
      <c r="H37"/>
      <c r="N37"/>
      <c r="O37"/>
      <c r="P37"/>
      <c r="Q37"/>
      <c r="R37"/>
      <c r="S37"/>
      <c r="T37"/>
      <c r="U37"/>
      <c r="V37"/>
    </row>
    <row r="38" customHeight="1" spans="2:22">
      <c r="B38"/>
      <c r="C38"/>
      <c r="H38"/>
      <c r="N38"/>
      <c r="O38"/>
      <c r="P38"/>
      <c r="Q38"/>
      <c r="R38"/>
      <c r="S38"/>
      <c r="T38"/>
      <c r="U38"/>
      <c r="V38"/>
    </row>
    <row r="39" customHeight="1" spans="2:22">
      <c r="B39"/>
      <c r="C39"/>
      <c r="H39"/>
      <c r="N39"/>
      <c r="O39"/>
      <c r="P39"/>
      <c r="Q39"/>
      <c r="R39"/>
      <c r="S39"/>
      <c r="T39"/>
      <c r="U39"/>
      <c r="V39"/>
    </row>
    <row r="40" customHeight="1" spans="2:22">
      <c r="B40"/>
      <c r="C40"/>
      <c r="H40"/>
      <c r="N40"/>
      <c r="O40"/>
      <c r="P40"/>
      <c r="Q40"/>
      <c r="R40"/>
      <c r="S40"/>
      <c r="T40"/>
      <c r="U40"/>
      <c r="V40"/>
    </row>
    <row r="41" customHeight="1" spans="2:22">
      <c r="B41"/>
      <c r="C41"/>
      <c r="H41"/>
      <c r="N41"/>
      <c r="O41"/>
      <c r="P41"/>
      <c r="Q41"/>
      <c r="R41"/>
      <c r="S41"/>
      <c r="T41"/>
      <c r="U41"/>
      <c r="V41"/>
    </row>
    <row r="42" customHeight="1" spans="2:22">
      <c r="B42"/>
      <c r="C42"/>
      <c r="H42"/>
      <c r="N42"/>
      <c r="O42"/>
      <c r="P42"/>
      <c r="Q42"/>
      <c r="R42"/>
      <c r="S42"/>
      <c r="T42"/>
      <c r="U42"/>
      <c r="V42"/>
    </row>
    <row r="43" customHeight="1" spans="2:22">
      <c r="B43"/>
      <c r="C43"/>
      <c r="H43"/>
      <c r="N43"/>
      <c r="O43"/>
      <c r="P43"/>
      <c r="Q43"/>
      <c r="R43"/>
      <c r="S43"/>
      <c r="T43"/>
      <c r="U43"/>
      <c r="V43"/>
    </row>
    <row r="44" customHeight="1" spans="3:22">
      <c r="C44" s="168"/>
      <c r="N44"/>
      <c r="O44"/>
      <c r="P44"/>
      <c r="Q44"/>
      <c r="R44"/>
      <c r="S44"/>
      <c r="T44"/>
      <c r="U44"/>
      <c r="V44"/>
    </row>
    <row r="45" customHeight="1" spans="14:22">
      <c r="N45"/>
      <c r="O45"/>
      <c r="P45"/>
      <c r="Q45"/>
      <c r="R45"/>
      <c r="S45"/>
      <c r="T45"/>
      <c r="U45"/>
      <c r="V45"/>
    </row>
  </sheetData>
  <mergeCells count="7">
    <mergeCell ref="N1:T1"/>
    <mergeCell ref="I2:J2"/>
    <mergeCell ref="K2:L2"/>
    <mergeCell ref="N2:N3"/>
    <mergeCell ref="N4:N5"/>
    <mergeCell ref="N6:N7"/>
    <mergeCell ref="Q4:Q5"/>
  </mergeCells>
  <conditionalFormatting sqref="D1:D10 D16:D27 D44:D1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10 D16:D2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313内战"/>
  <dimension ref="A1:W45"/>
  <sheetViews>
    <sheetView workbookViewId="0">
      <selection activeCell="A1" sqref="A1"/>
    </sheetView>
  </sheetViews>
  <sheetFormatPr defaultColWidth="14" defaultRowHeight="18" customHeight="1"/>
  <cols>
    <col min="1" max="1" width="2.828125" style="130" customWidth="1"/>
    <col min="2" max="2" width="8.7734375" style="119" customWidth="1"/>
    <col min="3" max="3" width="13.671875" style="34"/>
    <col min="4" max="4" width="9.4453125" customWidth="1"/>
    <col min="8" max="8" width="7.9609375" style="3" customWidth="1"/>
    <col min="9" max="12" width="13.671875" style="34"/>
    <col min="13" max="13" width="3.1015625" style="34" customWidth="1"/>
    <col min="14" max="14" width="13.671875" style="34"/>
    <col min="15" max="16" width="3.5078125" style="34" customWidth="1"/>
    <col min="17" max="17" width="13.671875" style="34"/>
    <col min="18" max="19" width="3.5078125" style="34" customWidth="1"/>
    <col min="20" max="20" width="13.671875" style="34"/>
    <col min="21" max="22" width="3.5078125" style="34" customWidth="1"/>
  </cols>
  <sheetData>
    <row r="1" customHeight="1" spans="1:23">
      <c r="A1" s="131"/>
      <c r="B1" s="121" t="s">
        <v>720</v>
      </c>
      <c r="C1" s="121" t="s">
        <v>270</v>
      </c>
      <c r="D1" s="84" t="s">
        <v>721</v>
      </c>
      <c r="E1" s="84" t="s">
        <v>271</v>
      </c>
      <c r="F1" s="84" t="s">
        <v>722</v>
      </c>
      <c r="G1" s="84" t="s">
        <v>226</v>
      </c>
      <c r="H1" s="84" t="s">
        <v>723</v>
      </c>
      <c r="J1" s="35"/>
      <c r="K1" s="35"/>
      <c r="L1" s="35"/>
      <c r="M1" s="35"/>
      <c r="N1" s="35" t="s">
        <v>724</v>
      </c>
      <c r="O1"/>
      <c r="P1"/>
      <c r="Q1"/>
      <c r="R1"/>
      <c r="S1"/>
      <c r="T1"/>
      <c r="U1"/>
      <c r="V1"/>
      <c r="W1" s="3"/>
    </row>
    <row r="2" customHeight="1" spans="2:22">
      <c r="B2" s="127">
        <v>20</v>
      </c>
      <c r="C2" s="167" t="str">
        <f>VLOOKUP(B2,选手名单!A:I,2,0)</f>
        <v>芋头芭乐脑袋</v>
      </c>
      <c r="D2" s="123">
        <f>VLOOKUP(B2,选手名单!A:I,6,0)</f>
        <v>34</v>
      </c>
      <c r="E2" s="123">
        <f>VLOOKUP(B2,选手名单!A:I,3,0)</f>
        <v>168661508</v>
      </c>
      <c r="F2" s="123">
        <f>VLOOKUP(B2,选手名单!A:I,5,0)</f>
        <v>3400</v>
      </c>
      <c r="G2" s="128" t="str">
        <f>VLOOKUP(B2,选手名单!A:I,7,0)</f>
        <v>四,五</v>
      </c>
      <c r="H2" s="127"/>
      <c r="I2" s="99" t="s">
        <v>640</v>
      </c>
      <c r="J2" s="41"/>
      <c r="K2" s="153" t="s">
        <v>80</v>
      </c>
      <c r="L2" s="154"/>
      <c r="M2" s="66"/>
      <c r="N2" s="86" t="s">
        <v>640</v>
      </c>
      <c r="O2" s="58"/>
      <c r="P2" s="58"/>
      <c r="Q2" s="1"/>
      <c r="R2" s="58"/>
      <c r="S2" s="58"/>
      <c r="T2" s="58"/>
      <c r="U2"/>
      <c r="V2"/>
    </row>
    <row r="3" customHeight="1" spans="2:22">
      <c r="B3" s="127">
        <v>7</v>
      </c>
      <c r="C3" s="167" t="str">
        <f>VLOOKUP(B3,选手名单!A:I,2,0)</f>
        <v>大蟑螂</v>
      </c>
      <c r="D3" s="123">
        <f>VLOOKUP(B3,选手名单!A:I,6,0)</f>
        <v>87</v>
      </c>
      <c r="E3" s="123">
        <f>VLOOKUP(B3,选手名单!A:I,3,0)</f>
        <v>341670770</v>
      </c>
      <c r="F3" s="123">
        <f>VLOOKUP(B3,选手名单!A:I,5,0)</f>
        <v>9000</v>
      </c>
      <c r="G3" s="128" t="str">
        <f>VLOOKUP(B3,选手名单!A:I,7,0)</f>
        <v>二</v>
      </c>
      <c r="H3" s="127"/>
      <c r="I3" s="99" t="s">
        <v>640</v>
      </c>
      <c r="J3" s="99">
        <v>87</v>
      </c>
      <c r="K3" s="69" t="s">
        <v>80</v>
      </c>
      <c r="L3" s="69">
        <v>84</v>
      </c>
      <c r="M3" s="66"/>
      <c r="N3" s="41"/>
      <c r="O3" s="59"/>
      <c r="P3" s="60"/>
      <c r="Q3" s="51"/>
      <c r="R3" s="58"/>
      <c r="S3" s="58"/>
      <c r="T3" s="58"/>
      <c r="U3"/>
      <c r="V3"/>
    </row>
    <row r="4" customHeight="1" spans="2:22">
      <c r="B4" s="127">
        <v>18</v>
      </c>
      <c r="C4" s="167" t="str">
        <f>VLOOKUP(B4,选手名单!A:I,2,0)</f>
        <v>王亚祈</v>
      </c>
      <c r="D4" s="123">
        <f>VLOOKUP(B4,选手名单!A:I,6,0)</f>
        <v>55</v>
      </c>
      <c r="E4" s="123">
        <f>VLOOKUP(B4,选手名单!A:I,3,0)</f>
        <v>417868870</v>
      </c>
      <c r="F4" s="123">
        <f>VLOOKUP(B4,选手名单!A:I,5,0)</f>
        <v>5500</v>
      </c>
      <c r="G4" s="128" t="str">
        <f>VLOOKUP(B4,选手名单!A:I,7,0)</f>
        <v>一,四,五</v>
      </c>
      <c r="H4" s="127"/>
      <c r="I4" s="99" t="s">
        <v>184</v>
      </c>
      <c r="J4" s="99">
        <v>40</v>
      </c>
      <c r="K4" s="67" t="s">
        <v>174</v>
      </c>
      <c r="L4" s="67">
        <v>30</v>
      </c>
      <c r="M4" s="76"/>
      <c r="N4" s="63" t="s">
        <v>735</v>
      </c>
      <c r="O4" s="58"/>
      <c r="P4" s="60"/>
      <c r="Q4" s="86" t="s">
        <v>640</v>
      </c>
      <c r="R4" s="58"/>
      <c r="S4" s="58"/>
      <c r="T4" s="58"/>
      <c r="U4"/>
      <c r="V4"/>
    </row>
    <row r="5" customHeight="1" spans="2:22">
      <c r="B5" s="127">
        <v>17</v>
      </c>
      <c r="C5" s="156" t="str">
        <f>VLOOKUP(B5,选手名单!A:I,2,0)</f>
        <v>寥寥</v>
      </c>
      <c r="D5" s="123">
        <f>VLOOKUP(B5,选手名单!A:I,6,0)</f>
        <v>40</v>
      </c>
      <c r="E5" s="123">
        <f>VLOOKUP(B5,选手名单!A:I,3,0)</f>
        <v>158643480</v>
      </c>
      <c r="F5" s="123">
        <f>VLOOKUP(B5,选手名单!A:I,5,0)</f>
        <v>4000</v>
      </c>
      <c r="G5" s="128" t="str">
        <f>VLOOKUP(B5,选手名单!A:I,7,0)</f>
        <v>一,二,三,四,五</v>
      </c>
      <c r="H5" s="127"/>
      <c r="I5" s="99" t="s">
        <v>87</v>
      </c>
      <c r="J5" s="99">
        <v>75</v>
      </c>
      <c r="K5" s="67" t="s">
        <v>107</v>
      </c>
      <c r="L5" s="67">
        <v>89</v>
      </c>
      <c r="M5" s="76"/>
      <c r="N5"/>
      <c r="O5" s="58"/>
      <c r="P5" s="62"/>
      <c r="Q5" s="41"/>
      <c r="R5" s="59"/>
      <c r="S5" s="60"/>
      <c r="T5" s="63"/>
      <c r="U5"/>
      <c r="V5"/>
    </row>
    <row r="6" customHeight="1" spans="2:22">
      <c r="B6" s="127">
        <v>14</v>
      </c>
      <c r="C6" s="156" t="str">
        <f>VLOOKUP(B6,选手名单!A:I,2,0)</f>
        <v>小橙皮～</v>
      </c>
      <c r="D6" s="123">
        <f>VLOOKUP(B6,选手名单!A:I,6,0)</f>
        <v>41</v>
      </c>
      <c r="E6" s="123">
        <f>VLOOKUP(B6,选手名单!A:I,3,0)</f>
        <v>228914641</v>
      </c>
      <c r="F6" s="123">
        <f>VLOOKUP(B6,选手名单!A:I,5,0)</f>
        <v>4600</v>
      </c>
      <c r="G6" s="128" t="str">
        <f>VLOOKUP(B6,选手名单!A:I,7,0)</f>
        <v>四,五</v>
      </c>
      <c r="H6" s="123"/>
      <c r="I6" s="99" t="s">
        <v>152</v>
      </c>
      <c r="J6" s="99">
        <v>56</v>
      </c>
      <c r="K6" s="67" t="s">
        <v>247</v>
      </c>
      <c r="L6" s="67">
        <v>75</v>
      </c>
      <c r="M6" s="75"/>
      <c r="N6" s="114" t="s">
        <v>736</v>
      </c>
      <c r="O6" s="58"/>
      <c r="P6" s="60"/>
      <c r="Q6" s="63" t="s">
        <v>737</v>
      </c>
      <c r="R6" s="58"/>
      <c r="S6" s="60"/>
      <c r="T6" s="1"/>
      <c r="U6"/>
      <c r="V6"/>
    </row>
    <row r="7" customHeight="1" spans="2:22">
      <c r="B7" s="127">
        <v>16</v>
      </c>
      <c r="C7" s="167" t="str">
        <f>VLOOKUP(B7,选手名单!A:I,2,0)</f>
        <v>你也喜欢河马嘛</v>
      </c>
      <c r="D7" s="123">
        <f>VLOOKUP(B7,选手名单!A:I,6,0)</f>
        <v>53</v>
      </c>
      <c r="E7" s="123">
        <f>VLOOKUP(B7,选手名单!A:I,3,0)</f>
        <v>189497913</v>
      </c>
      <c r="F7" s="123">
        <f>VLOOKUP(B7,选手名单!A:I,5,0)</f>
        <v>5300</v>
      </c>
      <c r="G7" s="128" t="str">
        <f>VLOOKUP(B7,选手名单!A:I,7,0)</f>
        <v>一,二,三,四,五</v>
      </c>
      <c r="H7" s="127"/>
      <c r="I7" s="99" t="s">
        <v>155</v>
      </c>
      <c r="J7" s="99">
        <v>55</v>
      </c>
      <c r="K7" s="67" t="s">
        <v>154</v>
      </c>
      <c r="L7" s="67">
        <v>55</v>
      </c>
      <c r="M7" s="75"/>
      <c r="N7" s="41"/>
      <c r="O7" s="59"/>
      <c r="P7" s="58"/>
      <c r="Q7"/>
      <c r="R7" s="58"/>
      <c r="S7" s="60"/>
      <c r="T7" s="139" t="s">
        <v>641</v>
      </c>
      <c r="U7"/>
      <c r="V7"/>
    </row>
    <row r="8" customHeight="1" spans="2:22">
      <c r="B8" s="127">
        <v>11</v>
      </c>
      <c r="C8" s="167" t="str">
        <f>VLOOKUP(B8,选手名单!A:I,2,0)</f>
        <v>iceice</v>
      </c>
      <c r="D8" s="123">
        <f>VLOOKUP(B8,选手名单!A:I,6,0)</f>
        <v>45</v>
      </c>
      <c r="E8" s="123">
        <f>VLOOKUP(B8,选手名单!A:I,3,0)</f>
        <v>0</v>
      </c>
      <c r="F8" s="123">
        <f>VLOOKUP(B8,选手名单!A:I,5,0)</f>
        <v>5500</v>
      </c>
      <c r="G8" s="128" t="str">
        <f>VLOOKUP(B8,选手名单!A:I,7,0)</f>
        <v>四,五</v>
      </c>
      <c r="H8" s="127"/>
      <c r="I8" s="99" t="s">
        <v>727</v>
      </c>
      <c r="J8" s="99">
        <f>SUM(J3:J7)</f>
        <v>313</v>
      </c>
      <c r="K8" s="67" t="s">
        <v>727</v>
      </c>
      <c r="L8" s="67">
        <f>SUM(L3:L7)</f>
        <v>333</v>
      </c>
      <c r="M8" s="78"/>
      <c r="N8" s="49"/>
      <c r="O8" s="49"/>
      <c r="P8" s="49"/>
      <c r="Q8"/>
      <c r="R8" s="58"/>
      <c r="S8" s="60"/>
      <c r="T8" s="41"/>
      <c r="U8"/>
      <c r="V8"/>
    </row>
    <row r="9" customHeight="1" spans="2:22">
      <c r="B9" s="127">
        <v>2</v>
      </c>
      <c r="C9" s="167" t="str">
        <f>VLOOKUP(B9,选手名单!A:I,2,0)</f>
        <v>一颗大白菜</v>
      </c>
      <c r="D9" s="123">
        <f>VLOOKUP(B9,选手名单!A:I,6,0)</f>
        <v>75</v>
      </c>
      <c r="E9" s="123">
        <f>VLOOKUP(B9,选手名单!A:I,3,0)</f>
        <v>186753076</v>
      </c>
      <c r="F9" s="123">
        <f>VLOOKUP(B9,选手名单!A:I,5,0)</f>
        <v>7500</v>
      </c>
      <c r="G9" s="128" t="str">
        <f>VLOOKUP(B9,选手名单!A:I,7,0)</f>
        <v>一,二,三</v>
      </c>
      <c r="H9" s="127"/>
      <c r="I9" s="68" t="s">
        <v>736</v>
      </c>
      <c r="J9" s="41"/>
      <c r="K9" s="101" t="s">
        <v>641</v>
      </c>
      <c r="L9" s="41"/>
      <c r="M9" s="66"/>
      <c r="N9" s="51"/>
      <c r="O9" s="58"/>
      <c r="P9" s="58"/>
      <c r="Q9"/>
      <c r="R9" s="58"/>
      <c r="S9" s="62"/>
      <c r="T9" s="41"/>
      <c r="U9"/>
      <c r="V9"/>
    </row>
    <row r="10" customHeight="1" spans="2:22">
      <c r="B10" s="127">
        <v>13</v>
      </c>
      <c r="C10" s="167" t="str">
        <f>VLOOKUP(B10,选手名单!A:I,2,0)</f>
        <v>赤夜紫雨</v>
      </c>
      <c r="D10" s="123">
        <f>VLOOKUP(B10,选手名单!A:I,6,0)</f>
        <v>89</v>
      </c>
      <c r="E10" s="123">
        <f>VLOOKUP(B10,选手名单!A:I,3,0)</f>
        <v>187933845</v>
      </c>
      <c r="F10" s="123">
        <f>VLOOKUP(B10,选手名单!A:I,5,0)</f>
        <v>8100</v>
      </c>
      <c r="G10" s="128" t="str">
        <f>VLOOKUP(B10,选手名单!A:I,7,0)</f>
        <v>一,三</v>
      </c>
      <c r="H10" s="127"/>
      <c r="I10" s="68" t="s">
        <v>250</v>
      </c>
      <c r="J10" s="68">
        <v>68</v>
      </c>
      <c r="K10" s="101" t="s">
        <v>641</v>
      </c>
      <c r="L10" s="101">
        <v>58</v>
      </c>
      <c r="M10" s="66"/>
      <c r="N10" s="54" t="s">
        <v>80</v>
      </c>
      <c r="O10" s="58"/>
      <c r="P10" s="58"/>
      <c r="Q10"/>
      <c r="R10" s="58"/>
      <c r="S10" s="60"/>
      <c r="T10" s="41"/>
      <c r="U10"/>
      <c r="V10"/>
    </row>
    <row r="11" customHeight="1" spans="2:22">
      <c r="B11" s="127">
        <v>1</v>
      </c>
      <c r="C11" s="167" t="str">
        <f>VLOOKUP(B11,选手名单!A:I,2,0)</f>
        <v>笑败</v>
      </c>
      <c r="D11" s="123">
        <f>VLOOKUP(B11,选手名单!A:I,6,0)</f>
        <v>84</v>
      </c>
      <c r="E11" s="123">
        <f>VLOOKUP(B11,选手名单!A:I,3,0)</f>
        <v>106964785</v>
      </c>
      <c r="F11" s="123">
        <f>VLOOKUP(B11,选手名单!A:I,5,0)</f>
        <v>8330</v>
      </c>
      <c r="G11" s="128" t="str">
        <f>VLOOKUP(B11,选手名单!A:I,7,0)</f>
        <v>一</v>
      </c>
      <c r="H11" s="127"/>
      <c r="I11" s="68" t="s">
        <v>108</v>
      </c>
      <c r="J11" s="68">
        <v>88</v>
      </c>
      <c r="K11" s="101" t="s">
        <v>84</v>
      </c>
      <c r="L11" s="101">
        <v>90</v>
      </c>
      <c r="M11" s="76"/>
      <c r="N11" s="41"/>
      <c r="O11" s="59"/>
      <c r="P11" s="60"/>
      <c r="Q11"/>
      <c r="R11" s="58"/>
      <c r="S11" s="60"/>
      <c r="T11"/>
      <c r="U11"/>
      <c r="V11"/>
    </row>
    <row r="12" customHeight="1" spans="2:22">
      <c r="B12" s="127">
        <v>10</v>
      </c>
      <c r="C12" s="156" t="str">
        <f>VLOOKUP(B12,选手名单!A:I,2,0)</f>
        <v>阿魂呐</v>
      </c>
      <c r="D12" s="123">
        <f>VLOOKUP(B12,选手名单!A:I,6,0)</f>
        <v>81</v>
      </c>
      <c r="E12" s="123">
        <f>VLOOKUP(B12,选手名单!A:I,3,0)</f>
        <v>138558413</v>
      </c>
      <c r="F12" s="123">
        <f>VLOOKUP(B12,选手名单!A:I,5,0)</f>
        <v>7500</v>
      </c>
      <c r="G12" s="128" t="str">
        <f>VLOOKUP(B12,选手名单!A:I,7,0)</f>
        <v>二</v>
      </c>
      <c r="H12" s="127"/>
      <c r="I12" s="68" t="s">
        <v>410</v>
      </c>
      <c r="J12" s="68">
        <v>55</v>
      </c>
      <c r="K12" s="101" t="s">
        <v>104</v>
      </c>
      <c r="L12" s="101">
        <v>77</v>
      </c>
      <c r="M12" s="76"/>
      <c r="N12" s="63" t="s">
        <v>738</v>
      </c>
      <c r="O12" s="58"/>
      <c r="P12" s="60"/>
      <c r="Q12" s="54" t="s">
        <v>641</v>
      </c>
      <c r="R12" s="58"/>
      <c r="S12" s="60"/>
      <c r="T12"/>
      <c r="U12"/>
      <c r="V12"/>
    </row>
    <row r="13" customHeight="1" spans="2:22">
      <c r="B13" s="127">
        <v>3</v>
      </c>
      <c r="C13" s="167" t="str">
        <f>VLOOKUP(B13,选手名单!A:I,2,0)</f>
        <v>睡衣大大</v>
      </c>
      <c r="D13" s="123">
        <f>VLOOKUP(B13,选手名单!A:I,6,0)</f>
        <v>63</v>
      </c>
      <c r="E13" s="123">
        <f>VLOOKUP(B13,选手名单!A:I,3,0)</f>
        <v>104465635</v>
      </c>
      <c r="F13" s="123">
        <f>VLOOKUP(B13,选手名单!A:I,5,0)</f>
        <v>6000</v>
      </c>
      <c r="G13" s="128" t="str">
        <f>VLOOKUP(B13,选手名单!A:I,7,0)</f>
        <v>一,二</v>
      </c>
      <c r="H13" s="127"/>
      <c r="I13" s="68" t="s">
        <v>132</v>
      </c>
      <c r="J13" s="68">
        <v>63</v>
      </c>
      <c r="K13" s="101" t="s">
        <v>318</v>
      </c>
      <c r="L13" s="101">
        <v>76</v>
      </c>
      <c r="M13" s="75"/>
      <c r="N13"/>
      <c r="O13" s="58"/>
      <c r="P13" s="62"/>
      <c r="Q13" s="41"/>
      <c r="R13" s="59"/>
      <c r="S13" s="58"/>
      <c r="T13"/>
      <c r="U13"/>
      <c r="V13"/>
    </row>
    <row r="14" customHeight="1" spans="2:22">
      <c r="B14" s="127">
        <v>15</v>
      </c>
      <c r="C14" s="156" t="str">
        <f>VLOOKUP(B14,选手名单!A:I,2,0)</f>
        <v>End</v>
      </c>
      <c r="D14" s="123">
        <f>VLOOKUP(B14,选手名单!A:I,6,0)</f>
        <v>58</v>
      </c>
      <c r="E14" s="123">
        <f>VLOOKUP(B14,选手名单!A:I,3,0)</f>
        <v>354618808</v>
      </c>
      <c r="F14" s="123">
        <f>VLOOKUP(B14,选手名单!A:I,5,0)</f>
        <v>6000</v>
      </c>
      <c r="G14" s="128" t="str">
        <f>VLOOKUP(B14,选手名单!A:I,7,0)</f>
        <v>一,五</v>
      </c>
      <c r="H14" s="127"/>
      <c r="I14" s="68" t="s">
        <v>357</v>
      </c>
      <c r="J14" s="68">
        <v>69</v>
      </c>
      <c r="K14" s="101" t="s">
        <v>577</v>
      </c>
      <c r="L14" s="101">
        <v>20</v>
      </c>
      <c r="M14" s="75"/>
      <c r="N14" s="91" t="s">
        <v>641</v>
      </c>
      <c r="O14" s="58"/>
      <c r="P14" s="60"/>
      <c r="Q14" s="1"/>
      <c r="R14" s="58"/>
      <c r="S14" s="58"/>
      <c r="T14"/>
      <c r="U14"/>
      <c r="V14"/>
    </row>
    <row r="15" customHeight="1" spans="2:22">
      <c r="B15" s="127">
        <v>8</v>
      </c>
      <c r="C15" s="167" t="str">
        <f>VLOOKUP(B15,选手名单!A:I,2,0)</f>
        <v>。。~</v>
      </c>
      <c r="D15" s="123">
        <f>VLOOKUP(B15,选手名单!A:I,6,0)</f>
        <v>50</v>
      </c>
      <c r="E15" s="123">
        <f>VLOOKUP(B15,选手名单!A:I,3,0)</f>
        <v>136537289</v>
      </c>
      <c r="F15" s="123">
        <f>VLOOKUP(B15,选手名单!A:I,5,0)</f>
        <v>5000</v>
      </c>
      <c r="G15" s="128" t="str">
        <f>VLOOKUP(B15,选手名单!A:I,7,0)</f>
        <v>一,二,三,四</v>
      </c>
      <c r="H15" s="127"/>
      <c r="I15" s="68" t="s">
        <v>727</v>
      </c>
      <c r="J15" s="68">
        <f>SUM(J10:J14)</f>
        <v>343</v>
      </c>
      <c r="K15" s="101" t="s">
        <v>727</v>
      </c>
      <c r="L15" s="101">
        <f>SUM(L10:L14)</f>
        <v>321</v>
      </c>
      <c r="M15"/>
      <c r="N15" s="41"/>
      <c r="O15" s="59"/>
      <c r="P15" s="58"/>
      <c r="Q15" s="1"/>
      <c r="R15" s="58"/>
      <c r="S15" s="58"/>
      <c r="T15"/>
      <c r="U15"/>
      <c r="V15"/>
    </row>
    <row r="16" customHeight="1" spans="2:22">
      <c r="B16" s="127">
        <v>5</v>
      </c>
      <c r="C16" s="167" t="str">
        <f>VLOOKUP(B16,选手名单!A:I,2,0)</f>
        <v>蜡笔小雪</v>
      </c>
      <c r="D16" s="123">
        <f>VLOOKUP(B16,选手名单!A:I,6,0)</f>
        <v>60</v>
      </c>
      <c r="E16" s="123">
        <f>VLOOKUP(B16,选手名单!A:I,3,0)</f>
        <v>154029585</v>
      </c>
      <c r="F16" s="123">
        <f>VLOOKUP(B16,选手名单!A:I,5,0)</f>
        <v>6000</v>
      </c>
      <c r="G16" s="128" t="str">
        <f>VLOOKUP(B16,选手名单!A:I,7,0)</f>
        <v>三</v>
      </c>
      <c r="H16" s="127"/>
      <c r="I16"/>
      <c r="J16"/>
      <c r="K16"/>
      <c r="L16"/>
      <c r="M16" s="66"/>
      <c r="N16"/>
      <c r="O16"/>
      <c r="P16"/>
      <c r="Q16"/>
      <c r="R16"/>
      <c r="S16"/>
      <c r="T16"/>
      <c r="U16"/>
      <c r="V16"/>
    </row>
    <row r="17" customHeight="1" spans="2:22">
      <c r="B17" s="127">
        <v>6</v>
      </c>
      <c r="C17" s="167" t="str">
        <f>VLOOKUP(B17,选手名单!A:I,2,0)</f>
        <v>jose</v>
      </c>
      <c r="D17" s="123">
        <f>VLOOKUP(B17,选手名单!A:I,6,0)</f>
        <v>59</v>
      </c>
      <c r="E17" s="123">
        <f>VLOOKUP(B17,选手名单!A:I,3,0)</f>
        <v>1255409177</v>
      </c>
      <c r="F17" s="123">
        <f>VLOOKUP(B17,选手名单!A:I,5,0)</f>
        <v>6200</v>
      </c>
      <c r="G17" s="128" t="str">
        <f>VLOOKUP(B17,选手名单!A:I,7,0)</f>
        <v>三</v>
      </c>
      <c r="H17" s="127"/>
      <c r="I17"/>
      <c r="J17"/>
      <c r="K17"/>
      <c r="L17"/>
      <c r="M17" s="66"/>
      <c r="N17"/>
      <c r="O17"/>
      <c r="P17"/>
      <c r="Q17"/>
      <c r="R17" s="58"/>
      <c r="S17" s="58"/>
      <c r="T17"/>
      <c r="U17"/>
      <c r="V17"/>
    </row>
    <row r="18" customHeight="1" spans="2:22">
      <c r="B18" s="127">
        <v>19</v>
      </c>
      <c r="C18" s="167">
        <f>VLOOKUP(B18,选手名单!A:I,2,0)</f>
        <v>21</v>
      </c>
      <c r="D18" s="123">
        <f>VLOOKUP(B18,选手名单!A:I,6,0)</f>
        <v>75</v>
      </c>
      <c r="E18" s="123">
        <f>VLOOKUP(B18,选手名单!A:I,3,0)</f>
        <v>277443592</v>
      </c>
      <c r="F18" s="123">
        <f>VLOOKUP(B18,选手名单!A:I,5,0)</f>
        <v>6800</v>
      </c>
      <c r="G18" s="128" t="str">
        <f>VLOOKUP(B18,选手名单!A:I,7,0)</f>
        <v>一</v>
      </c>
      <c r="H18" s="123"/>
      <c r="I18"/>
      <c r="J18"/>
      <c r="K18"/>
      <c r="L18"/>
      <c r="M18" s="76"/>
      <c r="N18"/>
      <c r="O18"/>
      <c r="P18"/>
      <c r="Q18"/>
      <c r="R18" s="58"/>
      <c r="S18" s="58"/>
      <c r="T18"/>
      <c r="U18"/>
      <c r="V18"/>
    </row>
    <row r="19" customHeight="1" spans="2:22">
      <c r="B19" s="127">
        <v>12</v>
      </c>
      <c r="C19" s="167" t="str">
        <f>VLOOKUP(B19,选手名单!A:I,2,0)</f>
        <v>秋</v>
      </c>
      <c r="D19" s="123">
        <f>VLOOKUP(B19,选手名单!A:I,6,0)</f>
        <v>90</v>
      </c>
      <c r="E19" s="123">
        <f>VLOOKUP(B19,选手名单!A:I,3,0)</f>
        <v>1004877057</v>
      </c>
      <c r="F19" s="123">
        <f>VLOOKUP(B19,选手名单!A:I,5,0)</f>
        <v>9000</v>
      </c>
      <c r="G19" s="128" t="str">
        <f>VLOOKUP(B19,选手名单!A:I,7,0)</f>
        <v>一,二,三,四</v>
      </c>
      <c r="H19" s="127"/>
      <c r="I19"/>
      <c r="J19"/>
      <c r="K19"/>
      <c r="L19"/>
      <c r="M19" s="76"/>
      <c r="N19"/>
      <c r="O19"/>
      <c r="P19"/>
      <c r="Q19"/>
      <c r="R19"/>
      <c r="S19"/>
      <c r="T19"/>
      <c r="U19"/>
      <c r="V19"/>
    </row>
    <row r="20" customHeight="1" spans="2:22">
      <c r="B20" s="127">
        <v>9</v>
      </c>
      <c r="C20" s="167" t="str">
        <f>VLOOKUP(B20,选手名单!A:I,2,0)</f>
        <v>starling</v>
      </c>
      <c r="D20" s="123">
        <f>VLOOKUP(B20,选手名单!A:I,6,0)</f>
        <v>34</v>
      </c>
      <c r="E20" s="123">
        <f>VLOOKUP(B20,选手名单!A:I,3,0)</f>
        <v>400294058</v>
      </c>
      <c r="F20" s="123">
        <f>VLOOKUP(B20,选手名单!A:I,5,0)</f>
        <v>4000</v>
      </c>
      <c r="G20" s="128" t="str">
        <f>VLOOKUP(B20,选手名单!A:I,7,0)</f>
        <v>四,五</v>
      </c>
      <c r="H20" s="127"/>
      <c r="I20"/>
      <c r="J20"/>
      <c r="K20"/>
      <c r="L20"/>
      <c r="M20" s="75"/>
      <c r="N20"/>
      <c r="O20"/>
      <c r="P20"/>
      <c r="Q20"/>
      <c r="R20"/>
      <c r="S20"/>
      <c r="T20"/>
      <c r="U20"/>
      <c r="V20"/>
    </row>
    <row r="21" customHeight="1" spans="2:22">
      <c r="B21" s="127">
        <v>4</v>
      </c>
      <c r="C21" s="167" t="str">
        <f>VLOOKUP(B21,选手名单!A:I,2,0)</f>
        <v>军</v>
      </c>
      <c r="D21" s="123">
        <f>VLOOKUP(B21,选手名单!A:I,6,0)</f>
        <v>45</v>
      </c>
      <c r="E21" s="123">
        <f>VLOOKUP(B21,选手名单!A:I,3,0)</f>
        <v>77006306</v>
      </c>
      <c r="F21" s="123">
        <f>VLOOKUP(B21,选手名单!A:I,5,0)</f>
        <v>4600</v>
      </c>
      <c r="G21" s="128" t="str">
        <f>VLOOKUP(B21,选手名单!A:I,7,0)</f>
        <v>三,四</v>
      </c>
      <c r="H21" s="127"/>
      <c r="I21"/>
      <c r="J21"/>
      <c r="K21"/>
      <c r="L21"/>
      <c r="M21" s="75"/>
      <c r="N21"/>
      <c r="O21"/>
      <c r="P21"/>
      <c r="Q21"/>
      <c r="R21"/>
      <c r="S21"/>
      <c r="T21"/>
      <c r="U21"/>
      <c r="V21"/>
    </row>
    <row r="22" customHeight="1" spans="2:22">
      <c r="B22"/>
      <c r="C22"/>
      <c r="H22"/>
      <c r="I22"/>
      <c r="J22"/>
      <c r="K22"/>
      <c r="L22"/>
      <c r="M22" s="78"/>
      <c r="N22"/>
      <c r="O22"/>
      <c r="P22"/>
      <c r="Q22"/>
      <c r="R22"/>
      <c r="S22"/>
      <c r="T22"/>
      <c r="U22"/>
      <c r="V22"/>
    </row>
    <row r="23" customHeight="1" spans="2:22">
      <c r="B23"/>
      <c r="C23"/>
      <c r="H23"/>
      <c r="I23"/>
      <c r="J23"/>
      <c r="K23"/>
      <c r="L23"/>
      <c r="M23" s="66"/>
      <c r="N23"/>
      <c r="O23"/>
      <c r="P23"/>
      <c r="Q23"/>
      <c r="R23"/>
      <c r="S23"/>
      <c r="T23"/>
      <c r="U23"/>
      <c r="V23"/>
    </row>
    <row r="24" customHeight="1" spans="2:22">
      <c r="B24"/>
      <c r="C24"/>
      <c r="H24"/>
      <c r="I24"/>
      <c r="J24"/>
      <c r="K24"/>
      <c r="L24"/>
      <c r="M24" s="66"/>
      <c r="N24"/>
      <c r="O24"/>
      <c r="P24"/>
      <c r="Q24"/>
      <c r="R24"/>
      <c r="S24"/>
      <c r="T24"/>
      <c r="U24"/>
      <c r="V24"/>
    </row>
    <row r="25" customHeight="1" spans="2:22">
      <c r="B25"/>
      <c r="C25"/>
      <c r="H25"/>
      <c r="I25"/>
      <c r="J25"/>
      <c r="K25"/>
      <c r="L25"/>
      <c r="M25" s="76"/>
      <c r="N25"/>
      <c r="O25"/>
      <c r="P25"/>
      <c r="Q25"/>
      <c r="R25"/>
      <c r="S25"/>
      <c r="T25"/>
      <c r="U25"/>
      <c r="V25"/>
    </row>
    <row r="26" customHeight="1" spans="2:22">
      <c r="B26"/>
      <c r="C26"/>
      <c r="H26"/>
      <c r="I26"/>
      <c r="J26"/>
      <c r="K26"/>
      <c r="L26"/>
      <c r="M26" s="76"/>
      <c r="N26"/>
      <c r="O26"/>
      <c r="P26"/>
      <c r="Q26"/>
      <c r="R26"/>
      <c r="S26"/>
      <c r="T26"/>
      <c r="U26"/>
      <c r="V26"/>
    </row>
    <row r="27" customHeight="1" spans="2:22">
      <c r="B27"/>
      <c r="C27"/>
      <c r="H27"/>
      <c r="I27"/>
      <c r="J27"/>
      <c r="K27"/>
      <c r="L27"/>
      <c r="M27" s="75"/>
      <c r="N27"/>
      <c r="O27"/>
      <c r="P27"/>
      <c r="Q27"/>
      <c r="R27"/>
      <c r="S27"/>
      <c r="T27"/>
      <c r="U27"/>
      <c r="V27"/>
    </row>
    <row r="28" customHeight="1" spans="2:22">
      <c r="B28"/>
      <c r="C28"/>
      <c r="H28"/>
      <c r="I28"/>
      <c r="J28"/>
      <c r="K28"/>
      <c r="L28"/>
      <c r="M28" s="75"/>
      <c r="N28"/>
      <c r="O28"/>
      <c r="P28"/>
      <c r="Q28"/>
      <c r="R28"/>
      <c r="S28"/>
      <c r="T28"/>
      <c r="U28"/>
      <c r="V28"/>
    </row>
    <row r="29" customHeight="1" spans="2:22">
      <c r="B29"/>
      <c r="C29"/>
      <c r="H29"/>
      <c r="I29"/>
      <c r="J29"/>
      <c r="K29"/>
      <c r="L29"/>
      <c r="N29"/>
      <c r="O29"/>
      <c r="P29"/>
      <c r="Q29"/>
      <c r="R29"/>
      <c r="S29"/>
      <c r="T29"/>
      <c r="U29"/>
      <c r="V29"/>
    </row>
    <row r="30" customHeight="1" spans="2:22">
      <c r="B30"/>
      <c r="C30"/>
      <c r="H30"/>
      <c r="N30"/>
      <c r="O30"/>
      <c r="P30"/>
      <c r="Q30"/>
      <c r="R30"/>
      <c r="S30"/>
      <c r="T30"/>
      <c r="U30"/>
      <c r="V30"/>
    </row>
    <row r="31" customHeight="1" spans="2:22">
      <c r="B31"/>
      <c r="C31"/>
      <c r="H31"/>
      <c r="N31"/>
      <c r="O31"/>
      <c r="P31"/>
      <c r="Q31"/>
      <c r="R31"/>
      <c r="S31"/>
      <c r="T31"/>
      <c r="U31"/>
      <c r="V31"/>
    </row>
    <row r="32" customHeight="1" spans="2:22">
      <c r="B32"/>
      <c r="C32"/>
      <c r="H32"/>
      <c r="N32"/>
      <c r="O32"/>
      <c r="P32"/>
      <c r="Q32"/>
      <c r="R32"/>
      <c r="S32"/>
      <c r="T32"/>
      <c r="U32"/>
      <c r="V32"/>
    </row>
    <row r="33" customHeight="1" spans="2:22">
      <c r="B33"/>
      <c r="C33"/>
      <c r="H33"/>
      <c r="N33"/>
      <c r="O33"/>
      <c r="P33"/>
      <c r="Q33"/>
      <c r="R33"/>
      <c r="S33"/>
      <c r="T33"/>
      <c r="U33"/>
      <c r="V33"/>
    </row>
    <row r="34" customHeight="1" spans="2:22">
      <c r="B34"/>
      <c r="C34"/>
      <c r="H34"/>
      <c r="N34"/>
      <c r="O34"/>
      <c r="P34"/>
      <c r="Q34"/>
      <c r="R34"/>
      <c r="S34"/>
      <c r="T34"/>
      <c r="U34"/>
      <c r="V34"/>
    </row>
    <row r="35" customHeight="1" spans="2:22">
      <c r="B35"/>
      <c r="C35"/>
      <c r="H35"/>
      <c r="N35"/>
      <c r="O35"/>
      <c r="P35"/>
      <c r="Q35"/>
      <c r="R35"/>
      <c r="S35"/>
      <c r="T35"/>
      <c r="U35"/>
      <c r="V35"/>
    </row>
    <row r="36" customHeight="1" spans="2:22">
      <c r="B36"/>
      <c r="C36"/>
      <c r="H36"/>
      <c r="N36"/>
      <c r="O36"/>
      <c r="P36"/>
      <c r="Q36"/>
      <c r="R36"/>
      <c r="S36"/>
      <c r="T36"/>
      <c r="U36"/>
      <c r="V36"/>
    </row>
    <row r="37" customHeight="1" spans="2:22">
      <c r="B37"/>
      <c r="C37"/>
      <c r="H37"/>
      <c r="N37"/>
      <c r="O37"/>
      <c r="P37"/>
      <c r="Q37"/>
      <c r="R37"/>
      <c r="S37"/>
      <c r="T37"/>
      <c r="U37"/>
      <c r="V37"/>
    </row>
    <row r="38" customHeight="1" spans="2:22">
      <c r="B38"/>
      <c r="C38"/>
      <c r="H38"/>
      <c r="N38"/>
      <c r="O38"/>
      <c r="P38"/>
      <c r="Q38"/>
      <c r="R38"/>
      <c r="S38"/>
      <c r="T38"/>
      <c r="U38"/>
      <c r="V38"/>
    </row>
    <row r="39" customHeight="1" spans="2:22">
      <c r="B39"/>
      <c r="C39"/>
      <c r="H39"/>
      <c r="N39"/>
      <c r="O39"/>
      <c r="P39"/>
      <c r="Q39"/>
      <c r="R39"/>
      <c r="S39"/>
      <c r="T39"/>
      <c r="U39"/>
      <c r="V39"/>
    </row>
    <row r="40" customHeight="1" spans="2:22">
      <c r="B40"/>
      <c r="C40"/>
      <c r="H40"/>
      <c r="N40"/>
      <c r="O40"/>
      <c r="P40"/>
      <c r="Q40"/>
      <c r="R40"/>
      <c r="S40"/>
      <c r="T40"/>
      <c r="U40"/>
      <c r="V40"/>
    </row>
    <row r="41" customHeight="1" spans="2:22">
      <c r="B41"/>
      <c r="C41"/>
      <c r="H41"/>
      <c r="N41"/>
      <c r="O41"/>
      <c r="P41"/>
      <c r="Q41"/>
      <c r="R41"/>
      <c r="S41"/>
      <c r="T41"/>
      <c r="U41"/>
      <c r="V41"/>
    </row>
    <row r="42" customHeight="1" spans="2:22">
      <c r="B42"/>
      <c r="C42"/>
      <c r="H42"/>
      <c r="N42"/>
      <c r="O42"/>
      <c r="P42"/>
      <c r="Q42"/>
      <c r="R42"/>
      <c r="S42"/>
      <c r="T42"/>
      <c r="U42"/>
      <c r="V42"/>
    </row>
    <row r="43" customHeight="1" spans="2:22">
      <c r="B43"/>
      <c r="C43"/>
      <c r="H43"/>
      <c r="N43"/>
      <c r="O43"/>
      <c r="P43"/>
      <c r="Q43"/>
      <c r="R43"/>
      <c r="S43"/>
      <c r="T43"/>
      <c r="U43"/>
      <c r="V43"/>
    </row>
    <row r="44" customHeight="1" spans="14:22">
      <c r="N44"/>
      <c r="O44"/>
      <c r="P44"/>
      <c r="Q44"/>
      <c r="R44"/>
      <c r="S44"/>
      <c r="T44"/>
      <c r="U44"/>
      <c r="V44"/>
    </row>
    <row r="45" customHeight="1" spans="14:22">
      <c r="N45"/>
      <c r="O45"/>
      <c r="P45"/>
      <c r="Q45"/>
      <c r="R45"/>
      <c r="S45"/>
      <c r="T45"/>
      <c r="U45"/>
      <c r="V45"/>
    </row>
  </sheetData>
  <mergeCells count="15">
    <mergeCell ref="N1:T1"/>
    <mergeCell ref="I2:J2"/>
    <mergeCell ref="K2:L2"/>
    <mergeCell ref="I9:J9"/>
    <mergeCell ref="K9:L9"/>
    <mergeCell ref="N2:N3"/>
    <mergeCell ref="N4:N5"/>
    <mergeCell ref="N6:N7"/>
    <mergeCell ref="N10:N11"/>
    <mergeCell ref="N12:N13"/>
    <mergeCell ref="N14:N15"/>
    <mergeCell ref="Q4:Q5"/>
    <mergeCell ref="Q6:Q11"/>
    <mergeCell ref="Q12:Q13"/>
    <mergeCell ref="T7:T10"/>
  </mergeCells>
  <conditionalFormatting sqref="D2:D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:D21 D44:D1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311内战"/>
  <dimension ref="A1:Y45"/>
  <sheetViews>
    <sheetView workbookViewId="0">
      <selection activeCell="A1" sqref="A1"/>
    </sheetView>
  </sheetViews>
  <sheetFormatPr defaultColWidth="14" defaultRowHeight="18" customHeight="1"/>
  <cols>
    <col min="1" max="1" width="2.828125" style="130" customWidth="1"/>
    <col min="2" max="2" width="8.7734375" style="119" customWidth="1"/>
    <col min="3" max="3" width="13.671875" style="34"/>
    <col min="4" max="4" width="9.4453125" customWidth="1"/>
    <col min="8" max="8" width="7.9609375" style="3" customWidth="1"/>
    <col min="9" max="12" width="13.671875" style="34"/>
    <col min="13" max="13" width="3.1015625" style="34" customWidth="1"/>
    <col min="14" max="14" width="13.671875" style="34"/>
    <col min="15" max="16" width="3.5078125" style="34" customWidth="1"/>
    <col min="17" max="17" width="13.671875" style="34"/>
    <col min="18" max="19" width="3.5078125" style="34" customWidth="1"/>
    <col min="20" max="20" width="13.671875" style="34"/>
    <col min="21" max="22" width="3.5078125" style="34" customWidth="1"/>
  </cols>
  <sheetData>
    <row r="1" customHeight="1" spans="1:23">
      <c r="A1" s="131"/>
      <c r="B1" s="121" t="s">
        <v>720</v>
      </c>
      <c r="C1" s="121" t="s">
        <v>270</v>
      </c>
      <c r="D1" s="84" t="s">
        <v>721</v>
      </c>
      <c r="E1" s="84" t="s">
        <v>271</v>
      </c>
      <c r="F1" s="84" t="s">
        <v>722</v>
      </c>
      <c r="G1" s="84" t="s">
        <v>226</v>
      </c>
      <c r="H1" s="84" t="s">
        <v>723</v>
      </c>
      <c r="J1" s="35"/>
      <c r="K1" s="35"/>
      <c r="L1" s="35"/>
      <c r="M1" s="35"/>
      <c r="N1" s="35" t="s">
        <v>724</v>
      </c>
      <c r="O1"/>
      <c r="P1"/>
      <c r="Q1"/>
      <c r="R1"/>
      <c r="S1"/>
      <c r="T1"/>
      <c r="U1"/>
      <c r="V1"/>
      <c r="W1" s="3"/>
    </row>
    <row r="2" customHeight="1" spans="2:22">
      <c r="B2" s="127"/>
      <c r="C2" s="127" t="e">
        <f>VLOOKUP(B2,选手名单!A:I,2,0)</f>
        <v>#N/A</v>
      </c>
      <c r="D2" s="123" t="e">
        <f>VLOOKUP(B2,选手名单!A:I,6,0)</f>
        <v>#N/A</v>
      </c>
      <c r="E2" s="123" t="e">
        <f>VLOOKUP(B2,选手名单!A:I,3,0)</f>
        <v>#N/A</v>
      </c>
      <c r="F2" s="123" t="e">
        <f>VLOOKUP(B2,选手名单!A:I,5,0)</f>
        <v>#N/A</v>
      </c>
      <c r="G2" s="128" t="e">
        <f>VLOOKUP(B2,选手名单!A:I,7,0)</f>
        <v>#N/A</v>
      </c>
      <c r="H2" s="127"/>
      <c r="I2" s="99" t="s">
        <v>739</v>
      </c>
      <c r="J2" s="41"/>
      <c r="K2" s="153" t="s">
        <v>740</v>
      </c>
      <c r="L2" s="154"/>
      <c r="M2" s="66"/>
      <c r="N2" s="86" t="s">
        <v>75</v>
      </c>
      <c r="O2" s="58"/>
      <c r="P2" s="58"/>
      <c r="Q2" s="1"/>
      <c r="R2" s="58"/>
      <c r="S2" s="58"/>
      <c r="T2" s="58"/>
      <c r="U2"/>
      <c r="V2"/>
    </row>
    <row r="3" customHeight="1" spans="2:22">
      <c r="B3" s="127">
        <v>2</v>
      </c>
      <c r="C3" s="162" t="s">
        <v>107</v>
      </c>
      <c r="D3" s="123">
        <v>89</v>
      </c>
      <c r="E3" s="123">
        <v>187933845</v>
      </c>
      <c r="F3" s="123">
        <f>VLOOKUP(B3,选手名单!A:I,5,0)</f>
        <v>7500</v>
      </c>
      <c r="G3" s="128" t="str">
        <f>VLOOKUP(B3,选手名单!A:I,7,0)</f>
        <v>一,二,三</v>
      </c>
      <c r="H3" s="127"/>
      <c r="I3" s="99" t="s">
        <v>75</v>
      </c>
      <c r="J3" s="99">
        <v>88</v>
      </c>
      <c r="K3" s="69" t="s">
        <v>285</v>
      </c>
      <c r="L3" s="69">
        <v>87</v>
      </c>
      <c r="M3" s="66"/>
      <c r="N3" s="41"/>
      <c r="O3" s="59"/>
      <c r="P3" s="60"/>
      <c r="Q3" s="51"/>
      <c r="R3" s="58"/>
      <c r="S3" s="58"/>
      <c r="T3" s="58"/>
      <c r="U3"/>
      <c r="V3"/>
    </row>
    <row r="4" customHeight="1" spans="2:22">
      <c r="B4" s="132">
        <v>24</v>
      </c>
      <c r="C4" s="132" t="s">
        <v>75</v>
      </c>
      <c r="D4" s="132">
        <v>88</v>
      </c>
      <c r="E4" s="132">
        <v>136801289</v>
      </c>
      <c r="F4" s="132">
        <f>VLOOKUP(B4,选手名单!A:I,5,0)</f>
        <v>6500</v>
      </c>
      <c r="G4" s="165" t="str">
        <f>VLOOKUP(B4,选手名单!A:I,7,0)</f>
        <v>二,四,五</v>
      </c>
      <c r="H4" s="132" t="s">
        <v>741</v>
      </c>
      <c r="I4" s="99" t="s">
        <v>143</v>
      </c>
      <c r="J4" s="99">
        <v>28</v>
      </c>
      <c r="K4" s="67" t="s">
        <v>288</v>
      </c>
      <c r="L4" s="67">
        <v>85</v>
      </c>
      <c r="M4" s="76"/>
      <c r="N4" s="63" t="s">
        <v>735</v>
      </c>
      <c r="O4" s="58"/>
      <c r="P4" s="60"/>
      <c r="Q4" s="86" t="s">
        <v>75</v>
      </c>
      <c r="R4" s="58"/>
      <c r="S4" s="58"/>
      <c r="T4" s="58"/>
      <c r="U4"/>
      <c r="V4"/>
    </row>
    <row r="5" customHeight="1" spans="2:22">
      <c r="B5" s="127">
        <v>6</v>
      </c>
      <c r="C5" s="132" t="s">
        <v>619</v>
      </c>
      <c r="D5" s="123">
        <v>88</v>
      </c>
      <c r="E5" s="123">
        <v>0</v>
      </c>
      <c r="F5" s="123">
        <f>VLOOKUP(B5,选手名单!A:I,5,0)</f>
        <v>6200</v>
      </c>
      <c r="G5" s="128" t="str">
        <f>VLOOKUP(B5,选手名单!A:I,7,0)</f>
        <v>三</v>
      </c>
      <c r="H5" s="132" t="s">
        <v>741</v>
      </c>
      <c r="I5" s="99" t="s">
        <v>104</v>
      </c>
      <c r="J5" s="99">
        <v>77</v>
      </c>
      <c r="K5" s="67" t="s">
        <v>141</v>
      </c>
      <c r="L5" s="67">
        <v>45</v>
      </c>
      <c r="M5" s="76"/>
      <c r="N5"/>
      <c r="O5" s="58"/>
      <c r="P5" s="62"/>
      <c r="Q5" s="41"/>
      <c r="R5" s="59"/>
      <c r="S5" s="60"/>
      <c r="T5" s="63"/>
      <c r="U5"/>
      <c r="V5"/>
    </row>
    <row r="6" customHeight="1" spans="2:22">
      <c r="B6" s="127">
        <v>21</v>
      </c>
      <c r="C6" s="132" t="s">
        <v>285</v>
      </c>
      <c r="D6" s="123">
        <v>87</v>
      </c>
      <c r="E6" s="123">
        <v>139963294</v>
      </c>
      <c r="F6" s="123">
        <f>VLOOKUP(B6,选手名单!A:I,5,0)</f>
        <v>3000</v>
      </c>
      <c r="G6" s="128" t="str">
        <f>VLOOKUP(B6,选手名单!A:I,7,0)</f>
        <v>三,四,五</v>
      </c>
      <c r="H6" s="127"/>
      <c r="I6" s="99" t="s">
        <v>87</v>
      </c>
      <c r="J6" s="99">
        <v>75</v>
      </c>
      <c r="K6" s="67" t="s">
        <v>132</v>
      </c>
      <c r="L6" s="67">
        <v>63</v>
      </c>
      <c r="M6" s="75"/>
      <c r="N6" s="114" t="s">
        <v>80</v>
      </c>
      <c r="O6" s="58"/>
      <c r="P6" s="60"/>
      <c r="Q6" s="63" t="s">
        <v>742</v>
      </c>
      <c r="R6" s="58"/>
      <c r="S6" s="60"/>
      <c r="T6" s="1"/>
      <c r="U6"/>
      <c r="V6"/>
    </row>
    <row r="7" customHeight="1" spans="2:22">
      <c r="B7" s="127">
        <v>3</v>
      </c>
      <c r="C7" s="162" t="s">
        <v>130</v>
      </c>
      <c r="D7" s="123">
        <v>87</v>
      </c>
      <c r="E7" s="123">
        <v>0</v>
      </c>
      <c r="F7" s="123">
        <f>VLOOKUP(B7,选手名单!A:I,5,0)</f>
        <v>6000</v>
      </c>
      <c r="G7" s="128" t="str">
        <f>VLOOKUP(B7,选手名单!A:I,7,0)</f>
        <v>一,二</v>
      </c>
      <c r="H7" s="127"/>
      <c r="I7" s="99" t="s">
        <v>121</v>
      </c>
      <c r="J7" s="99">
        <v>60</v>
      </c>
      <c r="K7" s="67" t="s">
        <v>463</v>
      </c>
      <c r="L7" s="67">
        <v>45</v>
      </c>
      <c r="M7" s="75"/>
      <c r="N7" s="41"/>
      <c r="O7" s="59"/>
      <c r="P7" s="58"/>
      <c r="Q7"/>
      <c r="R7" s="58"/>
      <c r="S7" s="60"/>
      <c r="T7" s="139"/>
      <c r="U7"/>
      <c r="V7"/>
    </row>
    <row r="8" customHeight="1" spans="2:22">
      <c r="B8" s="127">
        <v>22</v>
      </c>
      <c r="C8" s="162" t="s">
        <v>288</v>
      </c>
      <c r="D8" s="123">
        <v>85</v>
      </c>
      <c r="E8" s="123">
        <v>138235055</v>
      </c>
      <c r="F8" s="123">
        <f>VLOOKUP(B8,选手名单!A:I,5,0)</f>
        <v>4300</v>
      </c>
      <c r="G8" s="128" t="str">
        <f>VLOOKUP(B8,选手名单!A:I,7,0)</f>
        <v>二</v>
      </c>
      <c r="H8" s="127"/>
      <c r="I8" s="99" t="s">
        <v>727</v>
      </c>
      <c r="J8" s="99">
        <f>SUM(J3:J7)</f>
        <v>328</v>
      </c>
      <c r="K8" s="67" t="s">
        <v>727</v>
      </c>
      <c r="L8" s="67">
        <f>SUM(L3:L7)</f>
        <v>325</v>
      </c>
      <c r="M8" s="78"/>
      <c r="N8" s="49"/>
      <c r="O8" s="49"/>
      <c r="P8" s="49"/>
      <c r="Q8"/>
      <c r="R8" s="58"/>
      <c r="S8" s="60"/>
      <c r="T8" s="41"/>
      <c r="U8"/>
      <c r="V8"/>
    </row>
    <row r="9" customHeight="1" spans="2:22">
      <c r="B9" s="127">
        <v>27</v>
      </c>
      <c r="C9" s="132" t="s">
        <v>80</v>
      </c>
      <c r="D9" s="123">
        <v>84</v>
      </c>
      <c r="E9" s="123">
        <v>106964785</v>
      </c>
      <c r="F9" s="123">
        <f>VLOOKUP(B9,选手名单!A:I,5,0)</f>
        <v>7000</v>
      </c>
      <c r="G9" s="128" t="str">
        <f>VLOOKUP(B9,选手名单!A:I,7,0)</f>
        <v>一,二,三,四,五</v>
      </c>
      <c r="H9" s="127"/>
      <c r="I9" s="68" t="s">
        <v>728</v>
      </c>
      <c r="J9" s="41"/>
      <c r="K9" s="101" t="s">
        <v>743</v>
      </c>
      <c r="L9" s="41"/>
      <c r="M9" s="66"/>
      <c r="N9" s="51"/>
      <c r="O9" s="58"/>
      <c r="P9" s="58"/>
      <c r="Q9"/>
      <c r="R9" s="58"/>
      <c r="S9" s="62"/>
      <c r="T9" s="41"/>
      <c r="U9" s="80"/>
      <c r="V9"/>
    </row>
    <row r="10" customHeight="1" spans="2:22">
      <c r="B10" s="127">
        <v>30</v>
      </c>
      <c r="C10" s="162" t="s">
        <v>292</v>
      </c>
      <c r="D10" s="123">
        <v>83</v>
      </c>
      <c r="E10" s="123">
        <v>0</v>
      </c>
      <c r="F10" s="123">
        <f>VLOOKUP(B10,选手名单!A:I,5,0)</f>
        <v>6800</v>
      </c>
      <c r="G10" s="128" t="str">
        <f>VLOOKUP(B10,选手名单!A:I,7,0)</f>
        <v>一,二,四,五</v>
      </c>
      <c r="H10" s="127"/>
      <c r="I10" s="68" t="s">
        <v>80</v>
      </c>
      <c r="J10" s="68">
        <v>84</v>
      </c>
      <c r="K10" s="101" t="s">
        <v>360</v>
      </c>
      <c r="L10" s="101">
        <v>68</v>
      </c>
      <c r="M10" s="66"/>
      <c r="N10" s="54" t="s">
        <v>285</v>
      </c>
      <c r="O10" s="58"/>
      <c r="P10" s="58"/>
      <c r="Q10"/>
      <c r="R10" s="58"/>
      <c r="S10" s="60"/>
      <c r="T10" s="41"/>
      <c r="U10" s="81"/>
      <c r="V10"/>
    </row>
    <row r="11" customHeight="1" spans="2:22">
      <c r="B11" s="127">
        <v>26</v>
      </c>
      <c r="C11" s="162" t="s">
        <v>294</v>
      </c>
      <c r="D11" s="123">
        <v>83</v>
      </c>
      <c r="E11" s="123">
        <v>266088396</v>
      </c>
      <c r="F11" s="123">
        <f>VLOOKUP(B11,选手名单!A:I,5,0)</f>
        <v>7500</v>
      </c>
      <c r="G11" s="128" t="str">
        <f>VLOOKUP(B11,选手名单!A:I,7,0)</f>
        <v>二</v>
      </c>
      <c r="H11" s="127"/>
      <c r="I11" s="68" t="s">
        <v>130</v>
      </c>
      <c r="J11" s="68">
        <v>87</v>
      </c>
      <c r="K11" s="101" t="s">
        <v>322</v>
      </c>
      <c r="L11" s="101">
        <v>75</v>
      </c>
      <c r="M11" s="76"/>
      <c r="N11" s="41"/>
      <c r="O11" s="59"/>
      <c r="P11" s="60"/>
      <c r="Q11"/>
      <c r="R11" s="58"/>
      <c r="S11" s="60"/>
      <c r="T11" s="63" t="s">
        <v>744</v>
      </c>
      <c r="U11" s="81"/>
      <c r="V11"/>
    </row>
    <row r="12" customHeight="1" spans="2:23">
      <c r="B12" s="127">
        <v>14</v>
      </c>
      <c r="C12" s="162" t="s">
        <v>96</v>
      </c>
      <c r="D12" s="123">
        <v>81</v>
      </c>
      <c r="E12" s="123">
        <v>138558413</v>
      </c>
      <c r="F12" s="123">
        <f>VLOOKUP(B12,选手名单!A:I,5,0)</f>
        <v>4600</v>
      </c>
      <c r="G12" s="128" t="str">
        <f>VLOOKUP(B12,选手名单!A:I,7,0)</f>
        <v>四,五</v>
      </c>
      <c r="H12" s="127"/>
      <c r="I12" s="68" t="s">
        <v>615</v>
      </c>
      <c r="J12" s="68">
        <v>41</v>
      </c>
      <c r="K12" s="101" t="s">
        <v>253</v>
      </c>
      <c r="L12" s="101">
        <v>64</v>
      </c>
      <c r="M12" s="76"/>
      <c r="N12" s="63" t="s">
        <v>738</v>
      </c>
      <c r="O12" s="58"/>
      <c r="P12" s="60"/>
      <c r="Q12" s="54" t="s">
        <v>285</v>
      </c>
      <c r="R12" s="58"/>
      <c r="S12" s="60"/>
      <c r="T12"/>
      <c r="U12" s="81"/>
      <c r="V12"/>
      <c r="W12" s="3" t="s">
        <v>601</v>
      </c>
    </row>
    <row r="13" customHeight="1" spans="2:25">
      <c r="B13" s="127">
        <v>28</v>
      </c>
      <c r="C13" s="162" t="s">
        <v>150</v>
      </c>
      <c r="D13" s="123">
        <v>77</v>
      </c>
      <c r="E13" s="123">
        <v>885588023</v>
      </c>
      <c r="F13" s="123">
        <f>VLOOKUP(B13,选手名单!A:I,5,0)</f>
        <v>6400</v>
      </c>
      <c r="G13" s="128" t="str">
        <f>VLOOKUP(B13,选手名单!A:I,7,0)</f>
        <v>一</v>
      </c>
      <c r="H13" s="127"/>
      <c r="I13" s="68" t="s">
        <v>250</v>
      </c>
      <c r="J13" s="68">
        <v>68</v>
      </c>
      <c r="K13" s="101" t="s">
        <v>255</v>
      </c>
      <c r="L13" s="101">
        <v>60</v>
      </c>
      <c r="M13" s="75"/>
      <c r="N13"/>
      <c r="O13" s="58"/>
      <c r="P13" s="62"/>
      <c r="Q13" s="41"/>
      <c r="R13" s="59"/>
      <c r="S13" s="58"/>
      <c r="T13"/>
      <c r="U13" s="81"/>
      <c r="V13"/>
      <c r="W13" s="142"/>
      <c r="X13" s="100"/>
      <c r="Y13" s="166"/>
    </row>
    <row r="14" customHeight="1" spans="2:25">
      <c r="B14" s="127">
        <v>18</v>
      </c>
      <c r="C14" s="162" t="s">
        <v>104</v>
      </c>
      <c r="D14" s="123">
        <v>77</v>
      </c>
      <c r="E14" s="123">
        <v>383560624</v>
      </c>
      <c r="F14" s="123">
        <f>VLOOKUP(B14,选手名单!A:I,5,0)</f>
        <v>5500</v>
      </c>
      <c r="G14" s="128" t="str">
        <f>VLOOKUP(B14,选手名单!A:I,7,0)</f>
        <v>一,四,五</v>
      </c>
      <c r="H14" s="127"/>
      <c r="I14" s="68" t="s">
        <v>154</v>
      </c>
      <c r="J14" s="68">
        <v>55</v>
      </c>
      <c r="K14" s="101" t="s">
        <v>388</v>
      </c>
      <c r="L14" s="101">
        <v>60</v>
      </c>
      <c r="M14" s="75"/>
      <c r="N14" s="91" t="s">
        <v>360</v>
      </c>
      <c r="O14" s="58"/>
      <c r="P14" s="60"/>
      <c r="Q14" s="1"/>
      <c r="R14" s="58"/>
      <c r="S14" s="58"/>
      <c r="T14"/>
      <c r="U14" s="81"/>
      <c r="V14"/>
      <c r="W14" s="105"/>
      <c r="X14" s="100"/>
      <c r="Y14" s="166"/>
    </row>
    <row r="15" customHeight="1" spans="2:25">
      <c r="B15" s="127"/>
      <c r="C15" s="132"/>
      <c r="D15" s="123"/>
      <c r="E15" s="123"/>
      <c r="F15" s="123"/>
      <c r="G15" s="128"/>
      <c r="H15" s="123"/>
      <c r="I15" s="68" t="s">
        <v>727</v>
      </c>
      <c r="J15" s="68">
        <f>SUM(J10:J14)</f>
        <v>335</v>
      </c>
      <c r="K15" s="101" t="s">
        <v>727</v>
      </c>
      <c r="L15" s="101">
        <f>SUM(L10:L14)</f>
        <v>327</v>
      </c>
      <c r="M15"/>
      <c r="N15" s="41"/>
      <c r="O15" s="59"/>
      <c r="P15" s="58"/>
      <c r="Q15" s="1"/>
      <c r="R15" s="58"/>
      <c r="S15" s="58"/>
      <c r="T15"/>
      <c r="U15" s="81"/>
      <c r="V15" t="s">
        <v>745</v>
      </c>
      <c r="W15" s="105"/>
      <c r="X15" s="100"/>
      <c r="Y15" s="166"/>
    </row>
    <row r="16" customHeight="1" spans="2:25">
      <c r="B16" s="127">
        <v>5</v>
      </c>
      <c r="C16" s="162" t="s">
        <v>318</v>
      </c>
      <c r="D16" s="123">
        <v>76</v>
      </c>
      <c r="E16" s="123">
        <v>267719332</v>
      </c>
      <c r="F16" s="123">
        <f>VLOOKUP(B16,选手名单!A:I,5,0)</f>
        <v>6000</v>
      </c>
      <c r="G16" s="128" t="str">
        <f>VLOOKUP(B16,选手名单!A:I,7,0)</f>
        <v>三</v>
      </c>
      <c r="H16" s="127"/>
      <c r="I16" s="71" t="s">
        <v>746</v>
      </c>
      <c r="J16" s="41"/>
      <c r="K16" s="155" t="s">
        <v>747</v>
      </c>
      <c r="L16" s="154"/>
      <c r="M16" s="66"/>
      <c r="N16"/>
      <c r="O16"/>
      <c r="P16"/>
      <c r="Q16"/>
      <c r="R16"/>
      <c r="S16"/>
      <c r="T16"/>
      <c r="U16" s="81"/>
      <c r="V16"/>
      <c r="W16" s="105"/>
      <c r="X16" s="100"/>
      <c r="Y16" s="166"/>
    </row>
    <row r="17" customHeight="1" spans="2:25">
      <c r="B17" s="127">
        <v>32</v>
      </c>
      <c r="C17" s="162" t="s">
        <v>87</v>
      </c>
      <c r="D17" s="123">
        <v>75</v>
      </c>
      <c r="E17" s="123">
        <v>1259908216</v>
      </c>
      <c r="F17" s="123">
        <f>VLOOKUP(B17,选手名单!A:I,5,0)</f>
        <v>0</v>
      </c>
      <c r="G17" s="128" t="str">
        <f>VLOOKUP(B17,选手名单!A:I,7,0)</f>
        <v>二</v>
      </c>
      <c r="H17" s="127"/>
      <c r="I17" s="71" t="s">
        <v>118</v>
      </c>
      <c r="J17" s="71">
        <v>60</v>
      </c>
      <c r="K17" s="103" t="s">
        <v>619</v>
      </c>
      <c r="L17" s="103">
        <v>88</v>
      </c>
      <c r="M17" s="66"/>
      <c r="N17" s="136" t="s">
        <v>118</v>
      </c>
      <c r="O17" s="58"/>
      <c r="P17" s="58"/>
      <c r="Q17" s="1"/>
      <c r="R17" s="58"/>
      <c r="S17" s="58"/>
      <c r="T17"/>
      <c r="U17" s="81"/>
      <c r="V17"/>
      <c r="W17" s="106"/>
      <c r="X17" s="100"/>
      <c r="Y17" s="166"/>
    </row>
    <row r="18" customHeight="1" spans="2:22">
      <c r="B18" s="127">
        <v>16</v>
      </c>
      <c r="C18" s="162">
        <v>21</v>
      </c>
      <c r="D18" s="123">
        <v>75</v>
      </c>
      <c r="E18" s="123">
        <v>277443592</v>
      </c>
      <c r="F18" s="123">
        <f>VLOOKUP(B18,选手名单!A:I,5,0)</f>
        <v>5300</v>
      </c>
      <c r="G18" s="128" t="str">
        <f>VLOOKUP(B18,选手名单!A:I,7,0)</f>
        <v>一,二,三,四,五</v>
      </c>
      <c r="H18" s="127"/>
      <c r="I18" s="71" t="s">
        <v>150</v>
      </c>
      <c r="J18" s="71">
        <v>77</v>
      </c>
      <c r="K18" s="103" t="s">
        <v>96</v>
      </c>
      <c r="L18" s="103">
        <v>81</v>
      </c>
      <c r="M18" s="76"/>
      <c r="N18" s="41"/>
      <c r="O18" s="59"/>
      <c r="P18" s="60"/>
      <c r="Q18" s="51"/>
      <c r="R18" s="58"/>
      <c r="S18" s="58"/>
      <c r="T18"/>
      <c r="U18" s="81"/>
      <c r="V18"/>
    </row>
    <row r="19" customHeight="1" spans="2:22">
      <c r="B19" s="127">
        <v>11</v>
      </c>
      <c r="C19" s="162" t="s">
        <v>322</v>
      </c>
      <c r="D19" s="123">
        <v>75</v>
      </c>
      <c r="E19" s="123">
        <v>168741476</v>
      </c>
      <c r="F19" s="123">
        <f>VLOOKUP(B19,选手名单!A:I,5,0)</f>
        <v>5500</v>
      </c>
      <c r="G19" s="128" t="str">
        <f>VLOOKUP(B19,选手名单!A:I,7,0)</f>
        <v>四,五</v>
      </c>
      <c r="H19" s="127"/>
      <c r="I19" s="71" t="s">
        <v>107</v>
      </c>
      <c r="J19" s="71">
        <v>89</v>
      </c>
      <c r="K19" s="102" t="s">
        <v>343</v>
      </c>
      <c r="L19" s="102">
        <v>70</v>
      </c>
      <c r="M19" s="76"/>
      <c r="N19" s="63" t="s">
        <v>748</v>
      </c>
      <c r="O19" s="58"/>
      <c r="P19" s="60"/>
      <c r="Q19" s="136" t="s">
        <v>118</v>
      </c>
      <c r="R19" s="58"/>
      <c r="S19" s="58"/>
      <c r="T19"/>
      <c r="U19" s="81"/>
      <c r="V19"/>
    </row>
    <row r="20" customHeight="1" spans="2:22">
      <c r="B20" s="127">
        <v>37</v>
      </c>
      <c r="C20" s="162" t="s">
        <v>339</v>
      </c>
      <c r="D20" s="123">
        <v>72</v>
      </c>
      <c r="E20" s="123">
        <v>139625562</v>
      </c>
      <c r="F20" s="123" t="e">
        <f>VLOOKUP(B20,选手名单!A:I,5,0)</f>
        <v>#N/A</v>
      </c>
      <c r="G20" s="128" t="e">
        <f>VLOOKUP(B20,选手名单!A:I,7,0)</f>
        <v>#N/A</v>
      </c>
      <c r="H20" s="123"/>
      <c r="I20" s="71" t="s">
        <v>124</v>
      </c>
      <c r="J20" s="71">
        <v>45</v>
      </c>
      <c r="K20" s="102" t="s">
        <v>184</v>
      </c>
      <c r="L20" s="102">
        <v>30</v>
      </c>
      <c r="M20" s="75"/>
      <c r="N20"/>
      <c r="O20" s="58"/>
      <c r="P20" s="62"/>
      <c r="Q20" s="41"/>
      <c r="R20" s="59"/>
      <c r="S20" s="60"/>
      <c r="T20"/>
      <c r="U20" s="81"/>
      <c r="V20"/>
    </row>
    <row r="21" customHeight="1" spans="2:22">
      <c r="B21" s="127">
        <v>19</v>
      </c>
      <c r="C21" s="162" t="s">
        <v>343</v>
      </c>
      <c r="D21" s="123">
        <v>70</v>
      </c>
      <c r="E21" s="123">
        <v>214116802</v>
      </c>
      <c r="F21" s="123">
        <f>VLOOKUP(B21,选手名单!A:I,5,0)</f>
        <v>6800</v>
      </c>
      <c r="G21" s="128" t="str">
        <f>VLOOKUP(B21,选手名单!A:I,7,0)</f>
        <v>一</v>
      </c>
      <c r="H21" s="127"/>
      <c r="I21" s="71" t="s">
        <v>120</v>
      </c>
      <c r="J21" s="71">
        <v>55</v>
      </c>
      <c r="K21" s="102" t="s">
        <v>394</v>
      </c>
      <c r="L21" s="102">
        <v>59</v>
      </c>
      <c r="M21" s="75"/>
      <c r="N21" s="45" t="s">
        <v>357</v>
      </c>
      <c r="O21" s="58"/>
      <c r="P21" s="60"/>
      <c r="Q21" s="63" t="s">
        <v>749</v>
      </c>
      <c r="R21" s="58"/>
      <c r="S21" s="60"/>
      <c r="T21"/>
      <c r="U21" s="81"/>
      <c r="V21"/>
    </row>
    <row r="22" customHeight="1" spans="2:22">
      <c r="B22" s="127">
        <v>40</v>
      </c>
      <c r="C22" s="132" t="s">
        <v>357</v>
      </c>
      <c r="D22" s="123">
        <v>69</v>
      </c>
      <c r="E22" s="123">
        <v>106521253</v>
      </c>
      <c r="F22" s="123" t="e">
        <f>VLOOKUP(B22,选手名单!A:I,5,0)</f>
        <v>#N/A</v>
      </c>
      <c r="G22" s="128" t="e">
        <f>VLOOKUP(B22,选手名单!A:I,7,0)</f>
        <v>#N/A</v>
      </c>
      <c r="H22" s="123"/>
      <c r="I22" s="71" t="s">
        <v>727</v>
      </c>
      <c r="J22" s="71">
        <f>SUM(J17:J21)</f>
        <v>326</v>
      </c>
      <c r="K22" s="102" t="s">
        <v>727</v>
      </c>
      <c r="L22" s="102">
        <f>SUM(L17:L21)</f>
        <v>328</v>
      </c>
      <c r="M22" s="78"/>
      <c r="N22" s="41"/>
      <c r="O22" s="59"/>
      <c r="P22" s="58"/>
      <c r="Q22"/>
      <c r="R22" s="58"/>
      <c r="S22" s="60"/>
      <c r="T22" s="140" t="s">
        <v>619</v>
      </c>
      <c r="U22" s="81"/>
      <c r="V22"/>
    </row>
    <row r="23" customHeight="1" spans="2:22">
      <c r="B23" s="127">
        <v>23</v>
      </c>
      <c r="C23" s="162" t="s">
        <v>250</v>
      </c>
      <c r="D23" s="123">
        <v>68</v>
      </c>
      <c r="E23" s="123">
        <v>355328125</v>
      </c>
      <c r="F23" s="123">
        <f>VLOOKUP(B23,选手名单!A:I,5,0)</f>
        <v>8300</v>
      </c>
      <c r="G23" s="128" t="str">
        <f>VLOOKUP(B23,选手名单!A:I,7,0)</f>
        <v>一,二</v>
      </c>
      <c r="H23" s="127"/>
      <c r="I23" s="100" t="s">
        <v>750</v>
      </c>
      <c r="J23" s="41"/>
      <c r="K23" s="104" t="s">
        <v>751</v>
      </c>
      <c r="L23" s="41"/>
      <c r="M23" s="66"/>
      <c r="N23" s="49"/>
      <c r="O23" s="49"/>
      <c r="P23" s="49"/>
      <c r="Q23"/>
      <c r="R23" s="58"/>
      <c r="S23" s="60"/>
      <c r="T23" s="41"/>
      <c r="U23" s="83"/>
      <c r="V23"/>
    </row>
    <row r="24" customHeight="1" spans="2:22">
      <c r="B24" s="132">
        <v>9</v>
      </c>
      <c r="C24" s="132" t="s">
        <v>360</v>
      </c>
      <c r="D24" s="132">
        <v>68</v>
      </c>
      <c r="E24" s="132">
        <v>122810642</v>
      </c>
      <c r="F24" s="132">
        <f>VLOOKUP(B24,选手名单!A:I,5,0)</f>
        <v>4000</v>
      </c>
      <c r="G24" s="165" t="str">
        <f>VLOOKUP(B24,选手名单!A:I,7,0)</f>
        <v>四,五</v>
      </c>
      <c r="H24" s="132" t="s">
        <v>741</v>
      </c>
      <c r="I24" s="100" t="s">
        <v>357</v>
      </c>
      <c r="J24" s="100">
        <v>69</v>
      </c>
      <c r="K24" s="104" t="s">
        <v>427</v>
      </c>
      <c r="L24" s="104">
        <v>50</v>
      </c>
      <c r="M24" s="66"/>
      <c r="N24" s="51"/>
      <c r="O24" s="58"/>
      <c r="P24" s="58"/>
      <c r="Q24"/>
      <c r="R24" s="58"/>
      <c r="S24" s="62"/>
      <c r="T24" s="41"/>
      <c r="U24"/>
      <c r="V24"/>
    </row>
    <row r="25" customHeight="1" spans="2:22">
      <c r="B25" s="127">
        <v>10</v>
      </c>
      <c r="C25" s="162" t="s">
        <v>253</v>
      </c>
      <c r="D25" s="123">
        <v>64</v>
      </c>
      <c r="E25" s="123">
        <v>206673798</v>
      </c>
      <c r="F25" s="123">
        <f>VLOOKUP(B25,选手名单!A:I,5,0)</f>
        <v>7500</v>
      </c>
      <c r="G25" s="128" t="str">
        <f>VLOOKUP(B25,选手名单!A:I,7,0)</f>
        <v>二</v>
      </c>
      <c r="H25" s="127"/>
      <c r="I25" s="100" t="s">
        <v>292</v>
      </c>
      <c r="J25" s="100">
        <v>83</v>
      </c>
      <c r="K25" s="104" t="s">
        <v>294</v>
      </c>
      <c r="L25" s="104">
        <v>83</v>
      </c>
      <c r="M25" s="76"/>
      <c r="N25" s="137" t="s">
        <v>619</v>
      </c>
      <c r="O25" s="58"/>
      <c r="P25" s="58"/>
      <c r="Q25"/>
      <c r="R25" s="58"/>
      <c r="S25" s="60"/>
      <c r="T25" s="41"/>
      <c r="U25"/>
      <c r="V25"/>
    </row>
    <row r="26" customHeight="1" spans="2:22">
      <c r="B26" s="127">
        <v>13</v>
      </c>
      <c r="C26" s="162" t="s">
        <v>132</v>
      </c>
      <c r="D26" s="123">
        <v>63</v>
      </c>
      <c r="E26" s="123">
        <v>104465635</v>
      </c>
      <c r="F26" s="123">
        <f>VLOOKUP(B26,选手名单!A:I,5,0)</f>
        <v>8100</v>
      </c>
      <c r="G26" s="128" t="str">
        <f>VLOOKUP(B26,选手名单!A:I,7,0)</f>
        <v>一,三</v>
      </c>
      <c r="H26" s="127"/>
      <c r="I26" s="100" t="s">
        <v>339</v>
      </c>
      <c r="J26" s="100">
        <v>72</v>
      </c>
      <c r="K26" s="104">
        <v>21</v>
      </c>
      <c r="L26" s="104">
        <v>75</v>
      </c>
      <c r="M26" s="76"/>
      <c r="N26" s="41"/>
      <c r="O26" s="59"/>
      <c r="P26" s="60"/>
      <c r="Q26"/>
      <c r="R26" s="58"/>
      <c r="S26" s="60"/>
      <c r="T26" s="58"/>
      <c r="U26"/>
      <c r="V26"/>
    </row>
    <row r="27" customHeight="1" spans="2:22">
      <c r="B27" s="127">
        <v>34</v>
      </c>
      <c r="C27" s="162" t="s">
        <v>255</v>
      </c>
      <c r="D27" s="123">
        <v>60</v>
      </c>
      <c r="E27" s="123">
        <v>255882400</v>
      </c>
      <c r="F27" s="123">
        <f>VLOOKUP(B27,选手名单!A:I,5,0)</f>
        <v>8600</v>
      </c>
      <c r="G27" s="128" t="str">
        <f>VLOOKUP(B27,选手名单!A:I,7,0)</f>
        <v>一,三</v>
      </c>
      <c r="H27" s="123"/>
      <c r="I27" s="100" t="s">
        <v>155</v>
      </c>
      <c r="J27" s="100">
        <v>55</v>
      </c>
      <c r="K27" s="104" t="s">
        <v>318</v>
      </c>
      <c r="L27" s="104">
        <v>76</v>
      </c>
      <c r="M27" s="75"/>
      <c r="N27" s="63" t="s">
        <v>752</v>
      </c>
      <c r="O27" s="58"/>
      <c r="P27" s="60"/>
      <c r="Q27" s="137" t="s">
        <v>619</v>
      </c>
      <c r="R27" s="58"/>
      <c r="S27" s="60"/>
      <c r="T27" s="58"/>
      <c r="U27"/>
      <c r="V27"/>
    </row>
    <row r="28" customHeight="1" spans="2:22">
      <c r="B28" s="132">
        <v>29</v>
      </c>
      <c r="C28" s="132" t="s">
        <v>118</v>
      </c>
      <c r="D28" s="132">
        <v>60</v>
      </c>
      <c r="E28" s="132">
        <v>154029585</v>
      </c>
      <c r="F28" s="132">
        <f>VLOOKUP(B28,选手名单!A:I,5,0)</f>
        <v>5000</v>
      </c>
      <c r="G28" s="165" t="str">
        <f>VLOOKUP(B28,选手名单!A:I,7,0)</f>
        <v>一,三</v>
      </c>
      <c r="H28" s="132" t="s">
        <v>741</v>
      </c>
      <c r="I28" s="100" t="s">
        <v>416</v>
      </c>
      <c r="J28" s="100">
        <v>55</v>
      </c>
      <c r="K28" s="104" t="s">
        <v>577</v>
      </c>
      <c r="L28" s="104">
        <v>20</v>
      </c>
      <c r="M28" s="75"/>
      <c r="N28"/>
      <c r="O28" s="58"/>
      <c r="P28" s="62"/>
      <c r="Q28" s="41"/>
      <c r="R28" s="59"/>
      <c r="S28" s="58"/>
      <c r="T28" s="58"/>
      <c r="U28"/>
      <c r="V28"/>
    </row>
    <row r="29" customHeight="1" spans="2:22">
      <c r="B29" s="127">
        <v>25</v>
      </c>
      <c r="C29" s="162" t="s">
        <v>121</v>
      </c>
      <c r="D29" s="123">
        <v>60</v>
      </c>
      <c r="E29" s="123">
        <v>334481697</v>
      </c>
      <c r="F29" s="123">
        <f>VLOOKUP(B29,选手名单!A:I,5,0)</f>
        <v>7700</v>
      </c>
      <c r="G29" s="128" t="str">
        <f>VLOOKUP(B29,选手名单!A:I,7,0)</f>
        <v>四,五,三</v>
      </c>
      <c r="H29" s="127"/>
      <c r="I29" s="100" t="s">
        <v>727</v>
      </c>
      <c r="J29" s="100">
        <f>SUM(J24:J28)</f>
        <v>334</v>
      </c>
      <c r="K29" s="104" t="s">
        <v>727</v>
      </c>
      <c r="L29" s="104">
        <f>SUM(L24:L28)</f>
        <v>304</v>
      </c>
      <c r="N29" s="55" t="s">
        <v>753</v>
      </c>
      <c r="O29" s="58"/>
      <c r="P29" s="60"/>
      <c r="Q29"/>
      <c r="R29"/>
      <c r="S29"/>
      <c r="T29"/>
      <c r="U29"/>
      <c r="V29"/>
    </row>
    <row r="30" customHeight="1" spans="2:22">
      <c r="B30" s="127">
        <v>17</v>
      </c>
      <c r="C30" s="162" t="s">
        <v>388</v>
      </c>
      <c r="D30" s="123">
        <v>60</v>
      </c>
      <c r="E30" s="123">
        <v>0</v>
      </c>
      <c r="F30" s="123">
        <f>VLOOKUP(B30,选手名单!A:I,5,0)</f>
        <v>4000</v>
      </c>
      <c r="G30" s="128" t="str">
        <f>VLOOKUP(B30,选手名单!A:I,7,0)</f>
        <v>一,二,三,四,五</v>
      </c>
      <c r="H30" s="127"/>
      <c r="N30" s="41"/>
      <c r="O30" s="59"/>
      <c r="P30" s="58"/>
      <c r="Q30"/>
      <c r="R30"/>
      <c r="S30"/>
      <c r="T30"/>
      <c r="U30"/>
      <c r="V30"/>
    </row>
    <row r="31" customHeight="1" spans="2:22">
      <c r="B31" s="127">
        <v>15</v>
      </c>
      <c r="C31" s="162" t="s">
        <v>394</v>
      </c>
      <c r="D31" s="123">
        <v>59</v>
      </c>
      <c r="E31" s="123">
        <v>1255409177</v>
      </c>
      <c r="F31" s="123">
        <f>VLOOKUP(B31,选手名单!A:I,5,0)</f>
        <v>6000</v>
      </c>
      <c r="G31" s="128" t="str">
        <f>VLOOKUP(B31,选手名单!A:I,7,0)</f>
        <v>一,五</v>
      </c>
      <c r="H31" s="127"/>
      <c r="N31"/>
      <c r="O31"/>
      <c r="P31"/>
      <c r="Q31"/>
      <c r="R31"/>
      <c r="S31"/>
      <c r="T31"/>
      <c r="U31"/>
      <c r="V31"/>
    </row>
    <row r="32" customHeight="1" spans="2:22">
      <c r="B32" s="127">
        <v>41</v>
      </c>
      <c r="C32" s="162" t="s">
        <v>120</v>
      </c>
      <c r="D32" s="123">
        <v>55</v>
      </c>
      <c r="E32" s="123">
        <v>223646770</v>
      </c>
      <c r="F32" s="123" t="e">
        <f>VLOOKUP(B32,选手名单!A:I,5,0)</f>
        <v>#N/A</v>
      </c>
      <c r="G32" s="128" t="e">
        <f>VLOOKUP(B32,选手名单!A:I,7,0)</f>
        <v>#N/A</v>
      </c>
      <c r="H32" s="82"/>
      <c r="N32"/>
      <c r="O32"/>
      <c r="P32"/>
      <c r="Q32"/>
      <c r="R32"/>
      <c r="S32"/>
      <c r="T32"/>
      <c r="U32"/>
      <c r="V32"/>
    </row>
    <row r="33" customHeight="1" spans="2:22">
      <c r="B33" s="127">
        <v>12</v>
      </c>
      <c r="C33" s="162" t="s">
        <v>416</v>
      </c>
      <c r="D33" s="123">
        <v>55</v>
      </c>
      <c r="E33" s="123">
        <v>242739321</v>
      </c>
      <c r="F33" s="123">
        <f>VLOOKUP(B33,选手名单!A:I,5,0)</f>
        <v>9000</v>
      </c>
      <c r="G33" s="128" t="str">
        <f>VLOOKUP(B33,选手名单!A:I,7,0)</f>
        <v>一,二,三,四</v>
      </c>
      <c r="H33" s="127"/>
      <c r="N33"/>
      <c r="O33"/>
      <c r="P33"/>
      <c r="Q33"/>
      <c r="R33"/>
      <c r="S33"/>
      <c r="T33"/>
      <c r="U33"/>
      <c r="V33"/>
    </row>
    <row r="34" customHeight="1" spans="2:22">
      <c r="B34" s="127">
        <v>8</v>
      </c>
      <c r="C34" s="162" t="s">
        <v>155</v>
      </c>
      <c r="D34" s="123">
        <v>55</v>
      </c>
      <c r="E34" s="123">
        <v>417868870</v>
      </c>
      <c r="F34" s="123">
        <f>VLOOKUP(B34,选手名单!A:I,5,0)</f>
        <v>5000</v>
      </c>
      <c r="G34" s="128" t="str">
        <f>VLOOKUP(B34,选手名单!A:I,7,0)</f>
        <v>一,二,三,四</v>
      </c>
      <c r="H34" s="127"/>
      <c r="N34"/>
      <c r="O34"/>
      <c r="P34"/>
      <c r="Q34"/>
      <c r="R34"/>
      <c r="S34"/>
      <c r="T34"/>
      <c r="U34"/>
      <c r="V34"/>
    </row>
    <row r="35" customHeight="1" spans="2:22">
      <c r="B35" s="127">
        <v>7</v>
      </c>
      <c r="C35" s="162" t="s">
        <v>154</v>
      </c>
      <c r="D35" s="123">
        <v>55</v>
      </c>
      <c r="E35" s="123">
        <v>117252110</v>
      </c>
      <c r="F35" s="123">
        <f>VLOOKUP(B35,选手名单!A:I,5,0)</f>
        <v>9000</v>
      </c>
      <c r="G35" s="128" t="str">
        <f>VLOOKUP(B35,选手名单!A:I,7,0)</f>
        <v>二</v>
      </c>
      <c r="H35" s="127"/>
      <c r="N35"/>
      <c r="O35"/>
      <c r="P35"/>
      <c r="Q35"/>
      <c r="R35"/>
      <c r="S35"/>
      <c r="T35"/>
      <c r="U35"/>
      <c r="V35"/>
    </row>
    <row r="36" customHeight="1" spans="2:22">
      <c r="B36" s="127">
        <v>39</v>
      </c>
      <c r="C36" s="162" t="s">
        <v>463</v>
      </c>
      <c r="D36" s="123">
        <v>45</v>
      </c>
      <c r="E36" s="123">
        <v>141166215</v>
      </c>
      <c r="F36" s="123" t="e">
        <f>VLOOKUP(B36,选手名单!A:I,5,0)</f>
        <v>#N/A</v>
      </c>
      <c r="G36" s="128" t="e">
        <f>VLOOKUP(B36,选手名单!A:I,7,0)</f>
        <v>#N/A</v>
      </c>
      <c r="H36" s="123"/>
      <c r="N36"/>
      <c r="O36"/>
      <c r="P36"/>
      <c r="Q36"/>
      <c r="R36"/>
      <c r="S36"/>
      <c r="T36"/>
      <c r="U36"/>
      <c r="V36"/>
    </row>
    <row r="37" customHeight="1" spans="2:22">
      <c r="B37" s="127">
        <v>38</v>
      </c>
      <c r="C37" s="162" t="s">
        <v>141</v>
      </c>
      <c r="D37" s="123">
        <v>45</v>
      </c>
      <c r="E37" s="123">
        <v>1252995584</v>
      </c>
      <c r="F37" s="123" t="e">
        <f>VLOOKUP(B37,选手名单!A:I,5,0)</f>
        <v>#N/A</v>
      </c>
      <c r="G37" s="128" t="e">
        <f>VLOOKUP(B37,选手名单!A:I,7,0)</f>
        <v>#N/A</v>
      </c>
      <c r="H37" s="123"/>
      <c r="N37"/>
      <c r="O37"/>
      <c r="P37"/>
      <c r="Q37"/>
      <c r="R37"/>
      <c r="S37"/>
      <c r="T37"/>
      <c r="U37"/>
      <c r="V37"/>
    </row>
    <row r="38" customHeight="1" spans="2:22">
      <c r="B38" s="127">
        <v>20</v>
      </c>
      <c r="C38" s="162" t="s">
        <v>124</v>
      </c>
      <c r="D38" s="123">
        <v>45</v>
      </c>
      <c r="E38" s="123">
        <v>320479234</v>
      </c>
      <c r="F38" s="123">
        <f>VLOOKUP(B38,选手名单!A:I,5,0)</f>
        <v>3400</v>
      </c>
      <c r="G38" s="128" t="str">
        <f>VLOOKUP(B38,选手名单!A:I,7,0)</f>
        <v>四,五</v>
      </c>
      <c r="H38" s="127"/>
      <c r="N38"/>
      <c r="O38"/>
      <c r="P38"/>
      <c r="Q38"/>
      <c r="R38"/>
      <c r="S38"/>
      <c r="T38"/>
      <c r="U38"/>
      <c r="V38"/>
    </row>
    <row r="39" customHeight="1" spans="2:22">
      <c r="B39" s="127">
        <v>33</v>
      </c>
      <c r="C39" s="162" t="s">
        <v>615</v>
      </c>
      <c r="D39" s="123">
        <v>41</v>
      </c>
      <c r="E39" s="123">
        <v>228914641</v>
      </c>
      <c r="F39" s="123">
        <f>VLOOKUP(B39,选手名单!A:I,5,0)</f>
        <v>5000</v>
      </c>
      <c r="G39" s="128" t="str">
        <f>VLOOKUP(B39,选手名单!A:I,7,0)</f>
        <v>一,二</v>
      </c>
      <c r="H39" s="127"/>
      <c r="N39"/>
      <c r="O39"/>
      <c r="P39"/>
      <c r="Q39"/>
      <c r="R39"/>
      <c r="S39"/>
      <c r="T39"/>
      <c r="U39"/>
      <c r="V39"/>
    </row>
    <row r="40" customHeight="1" spans="2:22">
      <c r="B40" s="127">
        <v>35</v>
      </c>
      <c r="C40" s="162" t="s">
        <v>184</v>
      </c>
      <c r="D40" s="132">
        <v>30</v>
      </c>
      <c r="E40" s="127">
        <v>351772086</v>
      </c>
      <c r="F40" s="127">
        <f>VLOOKUP(B40,选手名单!A:I,5,0)</f>
        <v>5800</v>
      </c>
      <c r="G40" s="160" t="str">
        <f>VLOOKUP(B40,选手名单!A:I,7,0)</f>
        <v>三,四</v>
      </c>
      <c r="H40" s="127"/>
      <c r="N40"/>
      <c r="O40"/>
      <c r="P40"/>
      <c r="Q40"/>
      <c r="R40"/>
      <c r="S40"/>
      <c r="T40"/>
      <c r="U40"/>
      <c r="V40"/>
    </row>
    <row r="41" customHeight="1" spans="2:22">
      <c r="B41" s="127">
        <v>1</v>
      </c>
      <c r="C41" s="162" t="s">
        <v>143</v>
      </c>
      <c r="D41" s="123">
        <v>28</v>
      </c>
      <c r="E41" s="123">
        <v>283980530</v>
      </c>
      <c r="F41" s="123">
        <f>VLOOKUP(B41,选手名单!A:I,5,0)</f>
        <v>8330</v>
      </c>
      <c r="G41" s="128" t="str">
        <f>VLOOKUP(B41,选手名单!A:I,7,0)</f>
        <v>一</v>
      </c>
      <c r="H41" s="127"/>
      <c r="N41"/>
      <c r="O41"/>
      <c r="P41"/>
      <c r="Q41"/>
      <c r="R41"/>
      <c r="S41"/>
      <c r="T41"/>
      <c r="U41"/>
      <c r="V41"/>
    </row>
    <row r="42" customHeight="1" spans="2:22">
      <c r="B42" s="127">
        <v>4</v>
      </c>
      <c r="C42" s="162" t="s">
        <v>577</v>
      </c>
      <c r="D42" s="123">
        <v>20</v>
      </c>
      <c r="E42" s="123">
        <v>110837873</v>
      </c>
      <c r="F42" s="123">
        <f>VLOOKUP(B42,选手名单!A:I,5,0)</f>
        <v>4600</v>
      </c>
      <c r="G42" s="128" t="str">
        <f>VLOOKUP(B42,选手名单!A:I,7,0)</f>
        <v>三,四</v>
      </c>
      <c r="H42" s="130"/>
      <c r="N42"/>
      <c r="O42"/>
      <c r="P42"/>
      <c r="Q42"/>
      <c r="R42"/>
      <c r="S42"/>
      <c r="T42"/>
      <c r="U42"/>
      <c r="V42"/>
    </row>
    <row r="43" customHeight="1" spans="3:22">
      <c r="C43" s="163" t="s">
        <v>427</v>
      </c>
      <c r="D43" s="164">
        <v>50</v>
      </c>
      <c r="F43" s="85">
        <v>4900</v>
      </c>
      <c r="H43" s="132" t="s">
        <v>741</v>
      </c>
      <c r="N43"/>
      <c r="O43"/>
      <c r="P43"/>
      <c r="Q43"/>
      <c r="R43"/>
      <c r="S43"/>
      <c r="T43"/>
      <c r="U43"/>
      <c r="V43"/>
    </row>
    <row r="44" customHeight="1" spans="14:22">
      <c r="N44"/>
      <c r="O44"/>
      <c r="P44"/>
      <c r="Q44"/>
      <c r="R44"/>
      <c r="S44"/>
      <c r="T44"/>
      <c r="U44"/>
      <c r="V44"/>
    </row>
    <row r="45" customHeight="1" spans="14:22">
      <c r="N45"/>
      <c r="O45"/>
      <c r="P45"/>
      <c r="Q45"/>
      <c r="R45"/>
      <c r="S45"/>
      <c r="T45"/>
      <c r="U45"/>
      <c r="V45"/>
    </row>
  </sheetData>
  <mergeCells count="31">
    <mergeCell ref="N1:T1"/>
    <mergeCell ref="I2:J2"/>
    <mergeCell ref="K2:L2"/>
    <mergeCell ref="I9:J9"/>
    <mergeCell ref="K9:L9"/>
    <mergeCell ref="I16:J16"/>
    <mergeCell ref="K16:L16"/>
    <mergeCell ref="I23:J23"/>
    <mergeCell ref="K23:L23"/>
    <mergeCell ref="N2:N3"/>
    <mergeCell ref="N4:N5"/>
    <mergeCell ref="N6:N7"/>
    <mergeCell ref="N10:N11"/>
    <mergeCell ref="N12:N13"/>
    <mergeCell ref="N14:N15"/>
    <mergeCell ref="N17:N18"/>
    <mergeCell ref="N19:N20"/>
    <mergeCell ref="N21:N22"/>
    <mergeCell ref="N25:N26"/>
    <mergeCell ref="N27:N28"/>
    <mergeCell ref="N29:N30"/>
    <mergeCell ref="Q4:Q5"/>
    <mergeCell ref="Q6:Q11"/>
    <mergeCell ref="Q12:Q13"/>
    <mergeCell ref="Q19:Q20"/>
    <mergeCell ref="Q21:Q26"/>
    <mergeCell ref="Q27:Q28"/>
    <mergeCell ref="T7:T10"/>
    <mergeCell ref="T11:T21"/>
    <mergeCell ref="T22:T25"/>
    <mergeCell ref="W13:W17"/>
  </mergeCells>
  <conditionalFormatting sqref="D43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D1:D1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42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306内战"/>
  <dimension ref="A1:X41"/>
  <sheetViews>
    <sheetView workbookViewId="0">
      <selection activeCell="A1" sqref="A1"/>
    </sheetView>
  </sheetViews>
  <sheetFormatPr defaultColWidth="14" defaultRowHeight="18" customHeight="1"/>
  <cols>
    <col min="1" max="1" width="2.828125" style="130" customWidth="1"/>
    <col min="2" max="2" width="8.7734375" style="119" customWidth="1"/>
    <col min="3" max="3" width="13.671875" style="34"/>
    <col min="4" max="4" width="9.4453125" customWidth="1"/>
    <col min="8" max="8" width="7.9609375" customWidth="1"/>
    <col min="9" max="12" width="13.671875" style="34"/>
    <col min="13" max="13" width="3.1015625" style="34" customWidth="1"/>
    <col min="14" max="14" width="13.671875" style="34"/>
    <col min="15" max="16" width="3.5078125" style="34" customWidth="1"/>
    <col min="17" max="17" width="13.671875" style="34"/>
    <col min="18" max="19" width="3.5078125" style="34" customWidth="1"/>
    <col min="20" max="20" width="13.671875" style="34"/>
    <col min="21" max="22" width="3.5078125" style="34" customWidth="1"/>
  </cols>
  <sheetData>
    <row r="1" customHeight="1" spans="1:23">
      <c r="A1" s="131"/>
      <c r="B1" s="121" t="s">
        <v>720</v>
      </c>
      <c r="C1" s="121" t="s">
        <v>270</v>
      </c>
      <c r="D1" s="84" t="s">
        <v>721</v>
      </c>
      <c r="E1" s="84" t="s">
        <v>271</v>
      </c>
      <c r="F1" s="84" t="s">
        <v>722</v>
      </c>
      <c r="G1" s="84" t="s">
        <v>226</v>
      </c>
      <c r="H1" s="84" t="s">
        <v>723</v>
      </c>
      <c r="J1" s="35"/>
      <c r="K1" s="35"/>
      <c r="L1" s="35"/>
      <c r="M1" s="35"/>
      <c r="N1" s="35" t="s">
        <v>724</v>
      </c>
      <c r="O1"/>
      <c r="P1"/>
      <c r="Q1"/>
      <c r="R1"/>
      <c r="S1"/>
      <c r="T1"/>
      <c r="U1"/>
      <c r="V1"/>
      <c r="W1" s="3"/>
    </row>
    <row r="2" customHeight="1" spans="2:23">
      <c r="B2" s="123">
        <v>6</v>
      </c>
      <c r="C2" s="156" t="s">
        <v>83</v>
      </c>
      <c r="D2" s="123">
        <v>90</v>
      </c>
      <c r="E2" s="123">
        <v>0</v>
      </c>
      <c r="F2" s="123">
        <f>VLOOKUP(B2,选手名单!A:I,5,0)</f>
        <v>6200</v>
      </c>
      <c r="G2" s="128" t="str">
        <f>VLOOKUP(B2,选手名单!A:I,7,0)</f>
        <v>三</v>
      </c>
      <c r="H2" s="129"/>
      <c r="I2" s="99" t="s">
        <v>306</v>
      </c>
      <c r="J2" s="41"/>
      <c r="K2" s="153" t="s">
        <v>754</v>
      </c>
      <c r="L2" s="154"/>
      <c r="M2" s="66"/>
      <c r="N2" s="61" t="s">
        <v>306</v>
      </c>
      <c r="O2" s="58"/>
      <c r="P2" s="58"/>
      <c r="Q2" s="1"/>
      <c r="R2" s="58"/>
      <c r="S2" s="58"/>
      <c r="T2" s="58"/>
      <c r="U2"/>
      <c r="V2"/>
      <c r="W2" s="3"/>
    </row>
    <row r="3" customHeight="1" spans="2:23">
      <c r="B3" s="123">
        <v>14</v>
      </c>
      <c r="C3" s="156" t="s">
        <v>84</v>
      </c>
      <c r="D3" s="123">
        <v>90</v>
      </c>
      <c r="E3" s="123">
        <v>1004877057</v>
      </c>
      <c r="F3" s="123">
        <f>VLOOKUP(B3,选手名单!A:I,5,0)</f>
        <v>4600</v>
      </c>
      <c r="G3" s="128" t="str">
        <f>VLOOKUP(B3,选手名单!A:I,7,0)</f>
        <v>四,五</v>
      </c>
      <c r="H3" s="129"/>
      <c r="I3" s="99" t="s">
        <v>113</v>
      </c>
      <c r="J3" s="99">
        <v>75</v>
      </c>
      <c r="K3" s="69" t="s">
        <v>250</v>
      </c>
      <c r="L3" s="69">
        <v>68</v>
      </c>
      <c r="M3" s="66"/>
      <c r="N3" s="41"/>
      <c r="O3" s="59"/>
      <c r="P3" s="60"/>
      <c r="Q3" s="51"/>
      <c r="R3" s="58"/>
      <c r="S3" s="58"/>
      <c r="T3" s="58"/>
      <c r="U3"/>
      <c r="V3"/>
      <c r="W3" s="3"/>
    </row>
    <row r="4" customHeight="1" spans="2:23">
      <c r="B4" s="123">
        <v>22</v>
      </c>
      <c r="C4" s="156" t="s">
        <v>75</v>
      </c>
      <c r="D4" s="123">
        <v>88</v>
      </c>
      <c r="E4" s="123">
        <v>136801289</v>
      </c>
      <c r="F4" s="123">
        <f>VLOOKUP(B4,选手名单!A:I,5,0)</f>
        <v>4300</v>
      </c>
      <c r="G4" s="128" t="str">
        <f>VLOOKUP(B4,选手名单!A:I,7,0)</f>
        <v>二</v>
      </c>
      <c r="H4" s="129"/>
      <c r="I4" s="99" t="s">
        <v>84</v>
      </c>
      <c r="J4" s="99">
        <v>90</v>
      </c>
      <c r="K4" s="69" t="s">
        <v>104</v>
      </c>
      <c r="L4" s="69">
        <v>77</v>
      </c>
      <c r="M4" s="76"/>
      <c r="N4" s="76"/>
      <c r="O4" s="58"/>
      <c r="P4" s="60"/>
      <c r="Q4" s="61" t="s">
        <v>306</v>
      </c>
      <c r="R4" s="58"/>
      <c r="S4" s="58"/>
      <c r="T4" s="58"/>
      <c r="U4"/>
      <c r="V4"/>
      <c r="W4" s="3"/>
    </row>
    <row r="5" customHeight="1" spans="2:23">
      <c r="B5" s="123">
        <v>23</v>
      </c>
      <c r="C5" s="156" t="s">
        <v>618</v>
      </c>
      <c r="D5" s="123">
        <v>87</v>
      </c>
      <c r="E5" s="123">
        <v>0</v>
      </c>
      <c r="F5" s="123">
        <f>VLOOKUP(B5,选手名单!A:I,5,0)</f>
        <v>8300</v>
      </c>
      <c r="G5" s="128" t="str">
        <f>VLOOKUP(B5,选手名单!A:I,7,0)</f>
        <v>一,二</v>
      </c>
      <c r="H5" s="129"/>
      <c r="I5" s="99" t="s">
        <v>120</v>
      </c>
      <c r="J5" s="99">
        <v>55</v>
      </c>
      <c r="K5" s="67" t="s">
        <v>618</v>
      </c>
      <c r="L5" s="67">
        <v>87</v>
      </c>
      <c r="M5" s="76"/>
      <c r="N5"/>
      <c r="O5" s="58"/>
      <c r="P5" s="62"/>
      <c r="Q5" s="41"/>
      <c r="R5" s="59"/>
      <c r="S5" s="60"/>
      <c r="T5" s="63"/>
      <c r="U5"/>
      <c r="V5"/>
      <c r="W5" s="3"/>
    </row>
    <row r="6" customHeight="1" spans="2:23">
      <c r="B6" s="123">
        <v>12</v>
      </c>
      <c r="C6" s="156" t="s">
        <v>292</v>
      </c>
      <c r="D6" s="123">
        <v>83</v>
      </c>
      <c r="E6" s="123">
        <v>0</v>
      </c>
      <c r="F6" s="123">
        <f>VLOOKUP(B6,选手名单!A:I,5,0)</f>
        <v>9000</v>
      </c>
      <c r="G6" s="128" t="str">
        <f>VLOOKUP(B6,选手名单!A:I,7,0)</f>
        <v>一,二,三,四</v>
      </c>
      <c r="H6" s="129"/>
      <c r="I6" s="99" t="s">
        <v>96</v>
      </c>
      <c r="J6" s="99">
        <v>81</v>
      </c>
      <c r="K6" s="67" t="s">
        <v>87</v>
      </c>
      <c r="L6" s="67">
        <v>75</v>
      </c>
      <c r="M6" s="75"/>
      <c r="N6" s="77" t="s">
        <v>755</v>
      </c>
      <c r="O6" s="58"/>
      <c r="P6" s="60"/>
      <c r="Q6" s="42"/>
      <c r="R6" s="58"/>
      <c r="S6" s="60"/>
      <c r="T6" s="1"/>
      <c r="U6"/>
      <c r="V6"/>
      <c r="W6" s="3"/>
    </row>
    <row r="7" customHeight="1" spans="2:23">
      <c r="B7" s="123">
        <v>15</v>
      </c>
      <c r="C7" s="156" t="s">
        <v>638</v>
      </c>
      <c r="D7" s="123">
        <v>82</v>
      </c>
      <c r="E7" s="123">
        <v>137306952</v>
      </c>
      <c r="F7" s="123">
        <f>VLOOKUP(B7,选手名单!A:I,5,0)</f>
        <v>6000</v>
      </c>
      <c r="G7" s="128" t="str">
        <f>VLOOKUP(B7,选手名单!A:I,7,0)</f>
        <v>一,五</v>
      </c>
      <c r="H7" s="129"/>
      <c r="I7" s="99" t="s">
        <v>123</v>
      </c>
      <c r="J7" s="99">
        <v>44</v>
      </c>
      <c r="K7" s="67" t="s">
        <v>114</v>
      </c>
      <c r="L7" s="67">
        <v>65</v>
      </c>
      <c r="M7" s="75"/>
      <c r="N7" s="41"/>
      <c r="O7" s="59"/>
      <c r="P7" s="58"/>
      <c r="Q7"/>
      <c r="R7" s="58"/>
      <c r="S7" s="60"/>
      <c r="T7" s="66"/>
      <c r="U7"/>
      <c r="V7"/>
      <c r="W7" s="3"/>
    </row>
    <row r="8" customHeight="1" spans="2:23">
      <c r="B8" s="123">
        <v>10</v>
      </c>
      <c r="C8" s="156" t="s">
        <v>96</v>
      </c>
      <c r="D8" s="123">
        <v>81</v>
      </c>
      <c r="E8" s="123">
        <v>138558413</v>
      </c>
      <c r="F8" s="123">
        <f>VLOOKUP(B8,选手名单!A:I,5,0)</f>
        <v>7500</v>
      </c>
      <c r="G8" s="128" t="str">
        <f>VLOOKUP(B8,选手名单!A:I,7,0)</f>
        <v>二</v>
      </c>
      <c r="H8" s="129"/>
      <c r="I8" s="99" t="s">
        <v>727</v>
      </c>
      <c r="J8" s="99">
        <f>SUM(J3:J7)</f>
        <v>345</v>
      </c>
      <c r="K8" s="67" t="s">
        <v>727</v>
      </c>
      <c r="L8" s="67">
        <f>SUM(L3:L7)</f>
        <v>372</v>
      </c>
      <c r="M8" s="78"/>
      <c r="N8" s="78"/>
      <c r="O8" s="49"/>
      <c r="P8" s="49"/>
      <c r="Q8"/>
      <c r="R8" s="58"/>
      <c r="S8" s="60"/>
      <c r="T8" s="77" t="s">
        <v>754</v>
      </c>
      <c r="U8"/>
      <c r="V8"/>
      <c r="W8" s="3"/>
    </row>
    <row r="9" customHeight="1" spans="2:23">
      <c r="B9" s="123">
        <v>21</v>
      </c>
      <c r="C9" s="156" t="s">
        <v>104</v>
      </c>
      <c r="D9" s="123">
        <v>77</v>
      </c>
      <c r="E9" s="123">
        <v>383560624</v>
      </c>
      <c r="F9" s="123">
        <f>VLOOKUP(B9,选手名单!A:I,5,0)</f>
        <v>3000</v>
      </c>
      <c r="G9" s="128" t="str">
        <f>VLOOKUP(B9,选手名单!A:I,7,0)</f>
        <v>三,四,五</v>
      </c>
      <c r="H9" s="129"/>
      <c r="I9" s="68" t="s">
        <v>755</v>
      </c>
      <c r="J9" s="41"/>
      <c r="K9" s="101" t="s">
        <v>289</v>
      </c>
      <c r="L9" s="41"/>
      <c r="M9" s="66"/>
      <c r="N9" s="61" t="s">
        <v>754</v>
      </c>
      <c r="O9" s="58"/>
      <c r="P9" s="58"/>
      <c r="Q9"/>
      <c r="R9" s="58"/>
      <c r="S9" s="62"/>
      <c r="T9" s="41"/>
      <c r="U9" s="80"/>
      <c r="V9"/>
      <c r="W9" s="3"/>
    </row>
    <row r="10" customHeight="1" spans="2:23">
      <c r="B10" s="123">
        <v>7</v>
      </c>
      <c r="C10" s="156" t="s">
        <v>318</v>
      </c>
      <c r="D10" s="123">
        <v>76</v>
      </c>
      <c r="E10" s="123">
        <v>267719332</v>
      </c>
      <c r="F10" s="123">
        <f>VLOOKUP(B10,选手名单!A:I,5,0)</f>
        <v>9000</v>
      </c>
      <c r="G10" s="128" t="str">
        <f>VLOOKUP(B10,选手名单!A:I,7,0)</f>
        <v>二</v>
      </c>
      <c r="H10" s="129"/>
      <c r="I10" s="68" t="s">
        <v>118</v>
      </c>
      <c r="J10" s="68">
        <v>60</v>
      </c>
      <c r="K10" s="101" t="s">
        <v>499</v>
      </c>
      <c r="L10" s="101">
        <v>50</v>
      </c>
      <c r="M10" s="66"/>
      <c r="N10" s="41"/>
      <c r="O10" s="59"/>
      <c r="P10" s="60"/>
      <c r="Q10"/>
      <c r="R10" s="58"/>
      <c r="S10" s="60"/>
      <c r="T10" s="79"/>
      <c r="U10" s="81"/>
      <c r="V10"/>
      <c r="W10" s="3"/>
    </row>
    <row r="11" customHeight="1" spans="2:23">
      <c r="B11" s="123">
        <v>26</v>
      </c>
      <c r="C11" s="156" t="s">
        <v>245</v>
      </c>
      <c r="D11" s="123">
        <v>76</v>
      </c>
      <c r="E11" s="123">
        <v>457383175</v>
      </c>
      <c r="F11" s="123">
        <f>VLOOKUP(B11,选手名单!A:I,5,0)</f>
        <v>7500</v>
      </c>
      <c r="G11" s="128" t="str">
        <f>VLOOKUP(B11,选手名单!A:I,7,0)</f>
        <v>二</v>
      </c>
      <c r="H11" s="129"/>
      <c r="I11" s="68" t="s">
        <v>75</v>
      </c>
      <c r="J11" s="68">
        <v>88</v>
      </c>
      <c r="K11" s="101" t="s">
        <v>318</v>
      </c>
      <c r="L11" s="101">
        <v>76</v>
      </c>
      <c r="M11" s="76"/>
      <c r="N11" s="76"/>
      <c r="O11" s="58"/>
      <c r="P11" s="60"/>
      <c r="Q11" s="61" t="s">
        <v>754</v>
      </c>
      <c r="R11" s="58"/>
      <c r="S11" s="60"/>
      <c r="T11"/>
      <c r="U11" s="81"/>
      <c r="V11"/>
      <c r="W11" s="3"/>
    </row>
    <row r="12" customHeight="1" spans="2:23">
      <c r="B12" s="157">
        <v>8</v>
      </c>
      <c r="C12" s="157" t="s">
        <v>113</v>
      </c>
      <c r="D12" s="157">
        <v>75</v>
      </c>
      <c r="E12" s="157">
        <v>137852652</v>
      </c>
      <c r="F12" s="157">
        <f>VLOOKUP(B12,选手名单!A:I,5,0)</f>
        <v>5000</v>
      </c>
      <c r="G12" s="158" t="str">
        <f>VLOOKUP(B12,选手名单!A:I,7,0)</f>
        <v>一,二,三,四</v>
      </c>
      <c r="H12" s="159"/>
      <c r="I12" s="68" t="s">
        <v>245</v>
      </c>
      <c r="J12" s="68">
        <v>76</v>
      </c>
      <c r="K12" s="101" t="s">
        <v>638</v>
      </c>
      <c r="L12" s="101">
        <v>82</v>
      </c>
      <c r="M12" s="76"/>
      <c r="N12"/>
      <c r="O12" s="58"/>
      <c r="P12" s="62"/>
      <c r="Q12" s="41"/>
      <c r="R12" s="59"/>
      <c r="S12" s="58"/>
      <c r="T12"/>
      <c r="U12" s="81"/>
      <c r="V12"/>
      <c r="W12" s="3" t="s">
        <v>730</v>
      </c>
    </row>
    <row r="13" customHeight="1" spans="2:24">
      <c r="B13" s="123">
        <v>16</v>
      </c>
      <c r="C13" s="156">
        <v>21</v>
      </c>
      <c r="D13" s="123">
        <v>75</v>
      </c>
      <c r="E13" s="123">
        <v>277443592</v>
      </c>
      <c r="F13" s="123">
        <f>VLOOKUP(B13,选手名单!A:I,5,0)</f>
        <v>5300</v>
      </c>
      <c r="G13" s="128" t="str">
        <f>VLOOKUP(B13,选手名单!A:I,7,0)</f>
        <v>一,二,三,四,五</v>
      </c>
      <c r="H13" s="129"/>
      <c r="I13" s="68" t="s">
        <v>396</v>
      </c>
      <c r="J13" s="68">
        <v>58</v>
      </c>
      <c r="K13" s="101" t="s">
        <v>394</v>
      </c>
      <c r="L13" s="101">
        <v>59</v>
      </c>
      <c r="M13" s="75"/>
      <c r="N13" s="77" t="s">
        <v>289</v>
      </c>
      <c r="O13" s="58"/>
      <c r="P13" s="60"/>
      <c r="Q13" s="1"/>
      <c r="R13" s="58"/>
      <c r="S13" s="58"/>
      <c r="T13"/>
      <c r="U13" s="81"/>
      <c r="V13"/>
      <c r="W13" s="82" t="s">
        <v>756</v>
      </c>
      <c r="X13" s="103" t="s">
        <v>250</v>
      </c>
    </row>
    <row r="14" customHeight="1" spans="2:24">
      <c r="B14" s="123">
        <v>27</v>
      </c>
      <c r="C14" s="156" t="s">
        <v>87</v>
      </c>
      <c r="D14" s="123">
        <v>75</v>
      </c>
      <c r="E14" s="123">
        <v>1259908216</v>
      </c>
      <c r="F14" s="123">
        <f>VLOOKUP(B14,选手名单!A:I,5,0)</f>
        <v>7000</v>
      </c>
      <c r="G14" s="128" t="str">
        <f>VLOOKUP(B14,选手名单!A:I,7,0)</f>
        <v>一,二,三,四,五</v>
      </c>
      <c r="H14" s="129"/>
      <c r="I14" s="68" t="s">
        <v>485</v>
      </c>
      <c r="J14" s="68">
        <v>42</v>
      </c>
      <c r="K14" s="101" t="s">
        <v>420</v>
      </c>
      <c r="L14" s="101">
        <v>52</v>
      </c>
      <c r="M14" s="75"/>
      <c r="N14" s="41"/>
      <c r="O14" s="59"/>
      <c r="P14" s="58"/>
      <c r="Q14" s="1"/>
      <c r="R14" s="58"/>
      <c r="S14" s="58"/>
      <c r="T14"/>
      <c r="U14" s="81"/>
      <c r="V14"/>
      <c r="W14" s="41"/>
      <c r="X14" s="103" t="s">
        <v>104</v>
      </c>
    </row>
    <row r="15" customHeight="1" spans="2:24">
      <c r="B15" s="123">
        <v>25</v>
      </c>
      <c r="C15" s="156" t="s">
        <v>333</v>
      </c>
      <c r="D15" s="123">
        <v>72</v>
      </c>
      <c r="E15" s="123">
        <v>299025900</v>
      </c>
      <c r="F15" s="123">
        <f>VLOOKUP(B15,选手名单!A:I,5,0)</f>
        <v>7700</v>
      </c>
      <c r="G15" s="128" t="str">
        <f>VLOOKUP(B15,选手名单!A:I,7,0)</f>
        <v>四,五,三</v>
      </c>
      <c r="H15" s="129"/>
      <c r="I15" s="68" t="s">
        <v>727</v>
      </c>
      <c r="J15" s="68">
        <f>SUM(J10:J13)</f>
        <v>282</v>
      </c>
      <c r="K15" s="101" t="s">
        <v>727</v>
      </c>
      <c r="L15" s="101">
        <f>SUM(L10:L14)</f>
        <v>319</v>
      </c>
      <c r="M15"/>
      <c r="N15"/>
      <c r="O15"/>
      <c r="P15"/>
      <c r="Q15"/>
      <c r="R15"/>
      <c r="S15" s="58"/>
      <c r="T15"/>
      <c r="U15" s="81"/>
      <c r="V15"/>
      <c r="W15" s="41"/>
      <c r="X15" s="103" t="s">
        <v>618</v>
      </c>
    </row>
    <row r="16" customHeight="1" spans="2:24">
      <c r="B16" s="157">
        <v>1</v>
      </c>
      <c r="C16" s="157" t="s">
        <v>250</v>
      </c>
      <c r="D16" s="157">
        <v>68</v>
      </c>
      <c r="E16" s="157">
        <v>355328125</v>
      </c>
      <c r="F16" s="157">
        <f>VLOOKUP(B16,选手名单!A:I,5,0)</f>
        <v>8330</v>
      </c>
      <c r="G16" s="158" t="str">
        <f>VLOOKUP(B16,选手名单!A:I,7,0)</f>
        <v>一</v>
      </c>
      <c r="H16" s="159"/>
      <c r="I16" s="71" t="s">
        <v>757</v>
      </c>
      <c r="J16" s="41"/>
      <c r="K16" s="155" t="s">
        <v>753</v>
      </c>
      <c r="L16" s="154"/>
      <c r="M16" s="66"/>
      <c r="N16" s="61" t="s">
        <v>757</v>
      </c>
      <c r="O16" s="58"/>
      <c r="P16" s="58"/>
      <c r="Q16" s="1"/>
      <c r="R16" s="58"/>
      <c r="S16" s="58"/>
      <c r="T16"/>
      <c r="U16" s="81"/>
      <c r="V16" s="83"/>
      <c r="W16" s="41"/>
      <c r="X16" s="103" t="s">
        <v>87</v>
      </c>
    </row>
    <row r="17" customHeight="1" spans="2:24">
      <c r="B17" s="123">
        <v>20</v>
      </c>
      <c r="C17" s="156" t="s">
        <v>114</v>
      </c>
      <c r="D17" s="123">
        <v>65</v>
      </c>
      <c r="E17" s="123">
        <v>235611786</v>
      </c>
      <c r="F17" s="123">
        <f>VLOOKUP(B17,选手名单!A:I,5,0)</f>
        <v>3400</v>
      </c>
      <c r="G17" s="128" t="str">
        <f>VLOOKUP(B17,选手名单!A:I,7,0)</f>
        <v>四,五</v>
      </c>
      <c r="H17" s="129"/>
      <c r="I17" s="71" t="s">
        <v>179</v>
      </c>
      <c r="J17" s="71">
        <v>34</v>
      </c>
      <c r="K17" s="103" t="s">
        <v>143</v>
      </c>
      <c r="L17" s="103">
        <v>28</v>
      </c>
      <c r="M17" s="66"/>
      <c r="N17" s="41"/>
      <c r="O17" s="59"/>
      <c r="P17" s="60"/>
      <c r="Q17" s="51"/>
      <c r="R17" s="58"/>
      <c r="S17" s="58"/>
      <c r="T17"/>
      <c r="U17" s="81"/>
      <c r="V17"/>
      <c r="W17" s="41"/>
      <c r="X17" s="102" t="s">
        <v>114</v>
      </c>
    </row>
    <row r="18" customHeight="1" spans="2:23">
      <c r="B18" s="123">
        <v>11</v>
      </c>
      <c r="C18" s="156" t="s">
        <v>255</v>
      </c>
      <c r="D18" s="123">
        <v>60</v>
      </c>
      <c r="E18" s="123">
        <v>255882400</v>
      </c>
      <c r="F18" s="123">
        <f>VLOOKUP(B18,选手名单!A:I,5,0)</f>
        <v>5500</v>
      </c>
      <c r="G18" s="128" t="str">
        <f>VLOOKUP(B18,选手名单!A:I,7,0)</f>
        <v>四,五</v>
      </c>
      <c r="H18" s="129"/>
      <c r="I18" s="71" t="s">
        <v>138</v>
      </c>
      <c r="J18" s="71">
        <v>50</v>
      </c>
      <c r="K18" s="103" t="s">
        <v>333</v>
      </c>
      <c r="L18" s="103">
        <v>72</v>
      </c>
      <c r="M18" s="76"/>
      <c r="N18" s="76"/>
      <c r="O18" s="58"/>
      <c r="P18" s="60"/>
      <c r="Q18" s="61" t="s">
        <v>757</v>
      </c>
      <c r="R18" s="58"/>
      <c r="S18" s="58"/>
      <c r="T18"/>
      <c r="U18" s="81"/>
      <c r="V18"/>
      <c r="W18" s="3"/>
    </row>
    <row r="19" customHeight="1" spans="2:23">
      <c r="B19" s="157">
        <v>13</v>
      </c>
      <c r="C19" s="157" t="s">
        <v>118</v>
      </c>
      <c r="D19" s="157">
        <v>60</v>
      </c>
      <c r="E19" s="157">
        <v>154029585</v>
      </c>
      <c r="F19" s="157">
        <f>VLOOKUP(B19,选手名单!A:I,5,0)</f>
        <v>8100</v>
      </c>
      <c r="G19" s="158" t="str">
        <f>VLOOKUP(B19,选手名单!A:I,7,0)</f>
        <v>一,三</v>
      </c>
      <c r="H19" s="159"/>
      <c r="I19" s="71" t="s">
        <v>83</v>
      </c>
      <c r="J19" s="71">
        <v>90</v>
      </c>
      <c r="K19" s="103">
        <v>21</v>
      </c>
      <c r="L19" s="103">
        <v>75</v>
      </c>
      <c r="M19" s="76"/>
      <c r="N19"/>
      <c r="O19" s="58"/>
      <c r="P19" s="62"/>
      <c r="Q19" s="41"/>
      <c r="R19" s="59"/>
      <c r="S19" s="60"/>
      <c r="T19"/>
      <c r="U19" s="81"/>
      <c r="V19"/>
      <c r="W19" s="3"/>
    </row>
    <row r="20" customHeight="1" spans="2:23">
      <c r="B20" s="123">
        <v>17</v>
      </c>
      <c r="C20" s="156" t="s">
        <v>145</v>
      </c>
      <c r="D20" s="123">
        <v>60</v>
      </c>
      <c r="E20" s="123">
        <v>117970934</v>
      </c>
      <c r="F20" s="123">
        <f>VLOOKUP(B20,选手名单!A:I,5,0)</f>
        <v>4000</v>
      </c>
      <c r="G20" s="128" t="str">
        <f>VLOOKUP(B20,选手名单!A:I,7,0)</f>
        <v>一,二,三,四,五</v>
      </c>
      <c r="H20" s="129"/>
      <c r="I20" s="71" t="s">
        <v>292</v>
      </c>
      <c r="J20" s="71">
        <v>83</v>
      </c>
      <c r="K20" s="103" t="s">
        <v>124</v>
      </c>
      <c r="L20" s="103">
        <v>45</v>
      </c>
      <c r="M20" s="75"/>
      <c r="N20" s="77" t="s">
        <v>753</v>
      </c>
      <c r="O20" s="58"/>
      <c r="P20" s="60"/>
      <c r="Q20" s="42"/>
      <c r="R20" s="58"/>
      <c r="S20" s="60"/>
      <c r="T20"/>
      <c r="U20" s="81"/>
      <c r="V20"/>
      <c r="W20" s="3"/>
    </row>
    <row r="21" customHeight="1" spans="2:23">
      <c r="B21" s="123">
        <v>29</v>
      </c>
      <c r="C21" s="156" t="s">
        <v>394</v>
      </c>
      <c r="D21" s="123">
        <v>59</v>
      </c>
      <c r="E21" s="123">
        <v>1255409177</v>
      </c>
      <c r="F21" s="123">
        <f>VLOOKUP(B21,选手名单!A:I,5,0)</f>
        <v>5000</v>
      </c>
      <c r="G21" s="128" t="str">
        <f>VLOOKUP(B21,选手名单!A:I,7,0)</f>
        <v>一,三</v>
      </c>
      <c r="H21" s="129"/>
      <c r="I21" s="71" t="s">
        <v>145</v>
      </c>
      <c r="J21" s="71">
        <v>60</v>
      </c>
      <c r="K21" s="102" t="s">
        <v>255</v>
      </c>
      <c r="L21" s="102">
        <v>60</v>
      </c>
      <c r="M21" s="75"/>
      <c r="N21" s="41"/>
      <c r="O21" s="59"/>
      <c r="P21" s="58"/>
      <c r="Q21"/>
      <c r="R21" s="58"/>
      <c r="S21" s="60"/>
      <c r="T21"/>
      <c r="U21" s="81"/>
      <c r="V21"/>
      <c r="W21" s="3"/>
    </row>
    <row r="22" customHeight="1" spans="2:23">
      <c r="B22" s="123">
        <v>19</v>
      </c>
      <c r="C22" s="156" t="s">
        <v>396</v>
      </c>
      <c r="D22" s="123">
        <v>58</v>
      </c>
      <c r="E22" s="123">
        <v>354618808</v>
      </c>
      <c r="F22" s="123">
        <f>VLOOKUP(B22,选手名单!A:I,5,0)</f>
        <v>6800</v>
      </c>
      <c r="G22" s="128" t="str">
        <f>VLOOKUP(B22,选手名单!A:I,7,0)</f>
        <v>一</v>
      </c>
      <c r="H22" s="129"/>
      <c r="I22" s="71" t="s">
        <v>727</v>
      </c>
      <c r="J22" s="71">
        <f>SUM(J17:J21)</f>
        <v>317</v>
      </c>
      <c r="K22" s="102" t="s">
        <v>727</v>
      </c>
      <c r="L22" s="102">
        <f>SUM(L17:L21)</f>
        <v>280</v>
      </c>
      <c r="M22" s="78"/>
      <c r="N22" s="78"/>
      <c r="O22" s="49"/>
      <c r="P22" s="49"/>
      <c r="Q22"/>
      <c r="R22" s="58"/>
      <c r="S22" s="60"/>
      <c r="T22" s="77" t="s">
        <v>757</v>
      </c>
      <c r="U22" s="81"/>
      <c r="V22"/>
      <c r="W22" s="3"/>
    </row>
    <row r="23" customHeight="1" spans="2:23">
      <c r="B23" s="123">
        <v>28</v>
      </c>
      <c r="C23" s="156" t="s">
        <v>120</v>
      </c>
      <c r="D23" s="123">
        <v>55</v>
      </c>
      <c r="E23" s="123">
        <v>223646770</v>
      </c>
      <c r="F23" s="123">
        <f>VLOOKUP(B23,选手名单!A:I,5,0)</f>
        <v>6400</v>
      </c>
      <c r="G23" s="128" t="str">
        <f>VLOOKUP(B23,选手名单!A:I,7,0)</f>
        <v>一</v>
      </c>
      <c r="H23" s="129"/>
      <c r="M23" s="66"/>
      <c r="Q23"/>
      <c r="R23" s="58"/>
      <c r="S23" s="62"/>
      <c r="T23" s="41"/>
      <c r="U23" s="83"/>
      <c r="V23"/>
      <c r="W23" s="3"/>
    </row>
    <row r="24" customHeight="1" spans="2:23">
      <c r="B24" s="123">
        <v>9</v>
      </c>
      <c r="C24" s="156" t="s">
        <v>420</v>
      </c>
      <c r="D24" s="123">
        <v>52</v>
      </c>
      <c r="E24" s="123">
        <v>208333479</v>
      </c>
      <c r="F24" s="123">
        <f>VLOOKUP(B24,选手名单!A:I,5,0)</f>
        <v>4000</v>
      </c>
      <c r="G24" s="128" t="str">
        <f>VLOOKUP(B24,选手名单!A:I,7,0)</f>
        <v>四,五</v>
      </c>
      <c r="H24" s="129"/>
      <c r="M24" s="66"/>
      <c r="Q24"/>
      <c r="R24" s="58"/>
      <c r="S24" s="60"/>
      <c r="U24"/>
      <c r="V24"/>
      <c r="W24" s="3"/>
    </row>
    <row r="25" customHeight="1" spans="2:23">
      <c r="B25" s="157">
        <v>2</v>
      </c>
      <c r="C25" s="157" t="s">
        <v>499</v>
      </c>
      <c r="D25" s="157">
        <v>50</v>
      </c>
      <c r="E25" s="157">
        <v>454030900</v>
      </c>
      <c r="F25" s="157">
        <f>VLOOKUP(B25,选手名单!A:I,5,0)</f>
        <v>7500</v>
      </c>
      <c r="G25" s="158" t="str">
        <f>VLOOKUP(B25,选手名单!A:I,7,0)</f>
        <v>一,二,三</v>
      </c>
      <c r="H25" s="159"/>
      <c r="M25" s="76"/>
      <c r="Q25" s="61" t="s">
        <v>755</v>
      </c>
      <c r="R25" s="58"/>
      <c r="S25" s="60"/>
      <c r="T25" s="58"/>
      <c r="U25"/>
      <c r="V25"/>
      <c r="W25" s="3"/>
    </row>
    <row r="26" customHeight="1" spans="2:23">
      <c r="B26" s="123">
        <v>24</v>
      </c>
      <c r="C26" s="156" t="s">
        <v>138</v>
      </c>
      <c r="D26" s="123">
        <v>50</v>
      </c>
      <c r="E26" s="123">
        <v>178988576</v>
      </c>
      <c r="F26" s="123">
        <f>VLOOKUP(B26,选手名单!A:I,5,0)</f>
        <v>6500</v>
      </c>
      <c r="G26" s="128" t="str">
        <f>VLOOKUP(B26,选手名单!A:I,7,0)</f>
        <v>二,四,五</v>
      </c>
      <c r="H26" s="129"/>
      <c r="M26" s="76"/>
      <c r="Q26" s="41"/>
      <c r="R26" s="59"/>
      <c r="S26" s="58"/>
      <c r="T26" s="58"/>
      <c r="U26"/>
      <c r="V26"/>
      <c r="W26" s="3"/>
    </row>
    <row r="27" customHeight="1" spans="2:23">
      <c r="B27" s="123">
        <v>30</v>
      </c>
      <c r="C27" s="156" t="s">
        <v>124</v>
      </c>
      <c r="D27" s="123">
        <v>45</v>
      </c>
      <c r="E27" s="123">
        <v>320479234</v>
      </c>
      <c r="F27" s="123">
        <f>VLOOKUP(B27,选手名单!A:I,5,0)</f>
        <v>6800</v>
      </c>
      <c r="G27" s="128" t="str">
        <f>VLOOKUP(B27,选手名单!A:I,7,0)</f>
        <v>一,二,四,五</v>
      </c>
      <c r="H27" s="129"/>
      <c r="M27" s="75"/>
      <c r="Q27" s="1"/>
      <c r="R27" s="58"/>
      <c r="S27" s="58"/>
      <c r="T27" s="58"/>
      <c r="U27"/>
      <c r="V27"/>
      <c r="W27" s="3"/>
    </row>
    <row r="28" customHeight="1" spans="2:23">
      <c r="B28" s="123">
        <v>18</v>
      </c>
      <c r="C28" s="156" t="s">
        <v>123</v>
      </c>
      <c r="D28" s="123">
        <v>44</v>
      </c>
      <c r="E28" s="123">
        <v>370449300</v>
      </c>
      <c r="F28" s="123">
        <f>VLOOKUP(B28,选手名单!A:I,5,0)</f>
        <v>5500</v>
      </c>
      <c r="G28" s="128" t="str">
        <f>VLOOKUP(B28,选手名单!A:I,7,0)</f>
        <v>一,四,五</v>
      </c>
      <c r="H28" s="129"/>
      <c r="M28" s="75"/>
      <c r="Q28" s="61" t="s">
        <v>758</v>
      </c>
      <c r="R28" s="58"/>
      <c r="S28" s="58"/>
      <c r="T28" s="58"/>
      <c r="U28"/>
      <c r="V28"/>
      <c r="W28" s="3"/>
    </row>
    <row r="29" customHeight="1" spans="2:19">
      <c r="B29" s="123">
        <v>32</v>
      </c>
      <c r="C29" s="156" t="s">
        <v>485</v>
      </c>
      <c r="D29" s="123">
        <v>42</v>
      </c>
      <c r="E29" s="123">
        <v>101126670</v>
      </c>
      <c r="F29" s="123">
        <f>VLOOKUP(B29,选手名单!A:I,5,0)</f>
        <v>0</v>
      </c>
      <c r="G29" s="128" t="str">
        <f>VLOOKUP(B29,选手名单!A:I,7,0)</f>
        <v>二</v>
      </c>
      <c r="H29" s="129"/>
      <c r="Q29" s="41"/>
      <c r="R29" s="59"/>
      <c r="S29" s="60"/>
    </row>
    <row r="30" customHeight="1" spans="2:20">
      <c r="B30" s="157">
        <v>5</v>
      </c>
      <c r="C30" s="157" t="s">
        <v>179</v>
      </c>
      <c r="D30" s="157">
        <v>34</v>
      </c>
      <c r="E30" s="157">
        <v>400294058</v>
      </c>
      <c r="F30" s="157">
        <f>VLOOKUP(B30,选手名单!A:I,5,0)</f>
        <v>6000</v>
      </c>
      <c r="G30" s="158" t="str">
        <f>VLOOKUP(B30,选手名单!A:I,7,0)</f>
        <v>三</v>
      </c>
      <c r="H30" s="159"/>
      <c r="R30" s="58"/>
      <c r="S30" s="60"/>
      <c r="T30" s="77" t="s">
        <v>759</v>
      </c>
    </row>
    <row r="31" customHeight="1" spans="2:20">
      <c r="B31" s="123">
        <v>31</v>
      </c>
      <c r="C31" s="127" t="s">
        <v>184</v>
      </c>
      <c r="D31" s="123">
        <v>30</v>
      </c>
      <c r="E31" s="123">
        <v>351772086</v>
      </c>
      <c r="F31" s="123">
        <f>VLOOKUP(B31,选手名单!A:I,5,0)</f>
        <v>4000</v>
      </c>
      <c r="G31" s="128" t="str">
        <f>VLOOKUP(B31,选手名单!A:I,7,0)</f>
        <v>二,四,五</v>
      </c>
      <c r="H31" s="129"/>
      <c r="R31" s="58"/>
      <c r="S31" s="62"/>
      <c r="T31" s="41"/>
    </row>
    <row r="32" customHeight="1" spans="2:19">
      <c r="B32" s="157">
        <v>3</v>
      </c>
      <c r="C32" s="157" t="s">
        <v>143</v>
      </c>
      <c r="D32" s="157">
        <v>28</v>
      </c>
      <c r="E32" s="157">
        <v>283980530</v>
      </c>
      <c r="F32" s="157">
        <f>VLOOKUP(B32,选手名单!A:I,5,0)</f>
        <v>6000</v>
      </c>
      <c r="G32" s="158" t="str">
        <f>VLOOKUP(B32,选手名单!A:I,7,0)</f>
        <v>一,二</v>
      </c>
      <c r="H32" s="159"/>
      <c r="Q32" s="61" t="s">
        <v>758</v>
      </c>
      <c r="R32" s="58"/>
      <c r="S32" s="60"/>
    </row>
    <row r="33" customHeight="1" spans="2:19">
      <c r="B33" s="127">
        <v>4</v>
      </c>
      <c r="C33" s="127" t="s">
        <v>577</v>
      </c>
      <c r="D33" s="127">
        <v>20</v>
      </c>
      <c r="E33" s="127">
        <v>110837873</v>
      </c>
      <c r="F33" s="127">
        <f>VLOOKUP(B33,选手名单!A:I,5,0)</f>
        <v>4600</v>
      </c>
      <c r="G33" s="160" t="str">
        <f>VLOOKUP(B33,选手名单!A:I,7,0)</f>
        <v>三,四</v>
      </c>
      <c r="H33" s="161"/>
      <c r="Q33" s="41"/>
      <c r="R33" s="59"/>
      <c r="S33" s="58"/>
    </row>
    <row r="34" customHeight="1" spans="2:8">
      <c r="B34" s="123"/>
      <c r="C34" s="127"/>
      <c r="D34" s="123"/>
      <c r="E34" s="123"/>
      <c r="F34" s="123"/>
      <c r="G34" s="128"/>
      <c r="H34" s="129"/>
    </row>
    <row r="35" customHeight="1" spans="2:8">
      <c r="B35" s="123"/>
      <c r="C35" s="127"/>
      <c r="D35" s="123"/>
      <c r="E35" s="123"/>
      <c r="F35" s="123"/>
      <c r="G35" s="128"/>
      <c r="H35" s="129"/>
    </row>
    <row r="36" customHeight="1" spans="2:8">
      <c r="B36" s="123"/>
      <c r="C36" s="127"/>
      <c r="D36" s="123"/>
      <c r="E36" s="123"/>
      <c r="F36" s="123"/>
      <c r="G36" s="128"/>
      <c r="H36" s="129"/>
    </row>
    <row r="37" customHeight="1" spans="2:8">
      <c r="B37" s="123"/>
      <c r="C37" s="127"/>
      <c r="D37" s="123"/>
      <c r="E37" s="123"/>
      <c r="F37" s="123"/>
      <c r="G37" s="128"/>
      <c r="H37" s="129"/>
    </row>
    <row r="38" customHeight="1" spans="2:8">
      <c r="B38" s="123"/>
      <c r="C38" s="127"/>
      <c r="D38" s="123"/>
      <c r="E38" s="123"/>
      <c r="F38" s="123"/>
      <c r="G38" s="128"/>
      <c r="H38" s="129"/>
    </row>
    <row r="39" customHeight="1" spans="2:8">
      <c r="B39" s="123"/>
      <c r="C39" s="127"/>
      <c r="D39" s="123"/>
      <c r="E39" s="123"/>
      <c r="F39" s="123"/>
      <c r="G39" s="128"/>
      <c r="H39" s="129"/>
    </row>
    <row r="40" customHeight="1" spans="2:8">
      <c r="B40" s="123"/>
      <c r="C40" s="127"/>
      <c r="D40" s="123"/>
      <c r="E40" s="123"/>
      <c r="F40" s="123"/>
      <c r="G40" s="128"/>
      <c r="H40" s="129"/>
    </row>
    <row r="41" customHeight="1" spans="2:8">
      <c r="B41" s="123"/>
      <c r="C41" s="127"/>
      <c r="D41" s="123"/>
      <c r="E41" s="123"/>
      <c r="F41" s="123"/>
      <c r="G41" s="128"/>
      <c r="H41" s="129"/>
    </row>
  </sheetData>
  <mergeCells count="29">
    <mergeCell ref="N1:T1"/>
    <mergeCell ref="I2:J2"/>
    <mergeCell ref="K2:L2"/>
    <mergeCell ref="I9:J9"/>
    <mergeCell ref="K9:L9"/>
    <mergeCell ref="I16:J16"/>
    <mergeCell ref="K16:L16"/>
    <mergeCell ref="N2:N3"/>
    <mergeCell ref="N4:N5"/>
    <mergeCell ref="N6:N7"/>
    <mergeCell ref="N9:N10"/>
    <mergeCell ref="N11:N12"/>
    <mergeCell ref="N13:N14"/>
    <mergeCell ref="N16:N17"/>
    <mergeCell ref="N18:N19"/>
    <mergeCell ref="N20:N21"/>
    <mergeCell ref="Q4:Q5"/>
    <mergeCell ref="Q6:Q10"/>
    <mergeCell ref="Q11:Q12"/>
    <mergeCell ref="Q18:Q19"/>
    <mergeCell ref="Q20:Q24"/>
    <mergeCell ref="Q25:Q26"/>
    <mergeCell ref="Q28:Q29"/>
    <mergeCell ref="Q32:Q33"/>
    <mergeCell ref="T8:T9"/>
    <mergeCell ref="T10:T21"/>
    <mergeCell ref="T22:T23"/>
    <mergeCell ref="T30:T31"/>
    <mergeCell ref="W13:W17"/>
  </mergeCells>
  <conditionalFormatting sqref="D1:D1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304内战"/>
  <dimension ref="A1:X41"/>
  <sheetViews>
    <sheetView workbookViewId="0">
      <selection activeCell="A1" sqref="A1"/>
    </sheetView>
  </sheetViews>
  <sheetFormatPr defaultColWidth="14" defaultRowHeight="18" customHeight="1"/>
  <cols>
    <col min="1" max="1" width="2.828125" style="130" customWidth="1"/>
    <col min="2" max="2" width="8.7734375" style="119" customWidth="1"/>
    <col min="3" max="3" width="13.671875" style="34"/>
    <col min="4" max="4" width="9.4453125" customWidth="1"/>
    <col min="8" max="8" width="7.9609375" customWidth="1"/>
    <col min="9" max="12" width="13.671875" style="34"/>
    <col min="13" max="13" width="3.1015625" style="34" customWidth="1"/>
    <col min="14" max="14" width="13.671875" style="34"/>
    <col min="15" max="16" width="3.5078125" style="34" customWidth="1"/>
    <col min="17" max="17" width="13.671875" style="34"/>
    <col min="18" max="19" width="3.5078125" style="34" customWidth="1"/>
    <col min="20" max="20" width="13.671875" style="34"/>
    <col min="21" max="22" width="3.5078125" style="34" customWidth="1"/>
  </cols>
  <sheetData>
    <row r="1" customHeight="1" spans="1:23">
      <c r="A1" s="131"/>
      <c r="B1" s="121" t="s">
        <v>720</v>
      </c>
      <c r="C1" s="121" t="s">
        <v>270</v>
      </c>
      <c r="D1" s="84" t="s">
        <v>721</v>
      </c>
      <c r="E1" s="84" t="s">
        <v>271</v>
      </c>
      <c r="F1" s="84" t="s">
        <v>722</v>
      </c>
      <c r="G1" s="84" t="s">
        <v>226</v>
      </c>
      <c r="H1" s="84" t="s">
        <v>723</v>
      </c>
      <c r="J1" s="35"/>
      <c r="K1" s="35"/>
      <c r="L1" s="35"/>
      <c r="M1" s="35"/>
      <c r="N1" s="35" t="s">
        <v>724</v>
      </c>
      <c r="O1"/>
      <c r="P1"/>
      <c r="Q1"/>
      <c r="R1"/>
      <c r="S1"/>
      <c r="T1"/>
      <c r="U1"/>
      <c r="V1"/>
      <c r="W1" s="3"/>
    </row>
    <row r="2" customHeight="1" spans="2:23">
      <c r="B2" s="123">
        <v>1</v>
      </c>
      <c r="C2" s="132" t="s">
        <v>143</v>
      </c>
      <c r="D2" s="123">
        <v>28</v>
      </c>
      <c r="E2" s="123">
        <f>VLOOKUP(B2,选手名单!A:I,3,0)</f>
        <v>106964785</v>
      </c>
      <c r="F2" s="123">
        <f>VLOOKUP(B2,选手名单!A:I,5,0)</f>
        <v>8330</v>
      </c>
      <c r="G2" s="128" t="str">
        <f>VLOOKUP(B2,选手名单!A:I,7,0)</f>
        <v>一</v>
      </c>
      <c r="H2" s="128"/>
      <c r="I2" s="99" t="s">
        <v>760</v>
      </c>
      <c r="J2" s="41"/>
      <c r="K2" s="153" t="s">
        <v>761</v>
      </c>
      <c r="L2" s="154"/>
      <c r="M2" s="66"/>
      <c r="N2" s="61" t="s">
        <v>306</v>
      </c>
      <c r="O2" s="58"/>
      <c r="P2" s="58"/>
      <c r="Q2" s="1"/>
      <c r="R2" s="58"/>
      <c r="S2" s="58"/>
      <c r="T2" s="58"/>
      <c r="U2"/>
      <c r="V2"/>
      <c r="W2" s="3"/>
    </row>
    <row r="3" customHeight="1" spans="2:23">
      <c r="B3" s="123">
        <v>15</v>
      </c>
      <c r="C3" s="132" t="s">
        <v>174</v>
      </c>
      <c r="D3" s="123">
        <v>30</v>
      </c>
      <c r="E3" s="123">
        <f>VLOOKUP(B3,选手名单!A:I,3,0)</f>
        <v>354618808</v>
      </c>
      <c r="F3" s="123">
        <f>VLOOKUP(B3,选手名单!A:I,5,0)</f>
        <v>6000</v>
      </c>
      <c r="G3" s="128" t="str">
        <f>VLOOKUP(B3,选手名单!A:I,7,0)</f>
        <v>一,五</v>
      </c>
      <c r="H3" s="128"/>
      <c r="I3" s="99" t="s">
        <v>143</v>
      </c>
      <c r="J3" s="99">
        <v>28</v>
      </c>
      <c r="K3" s="69" t="s">
        <v>174</v>
      </c>
      <c r="L3" s="69">
        <v>30</v>
      </c>
      <c r="M3" s="66"/>
      <c r="N3" s="41"/>
      <c r="O3" s="59"/>
      <c r="P3" s="60"/>
      <c r="Q3" s="51"/>
      <c r="R3" s="58"/>
      <c r="S3" s="58"/>
      <c r="T3" s="58"/>
      <c r="U3"/>
      <c r="V3"/>
      <c r="W3" s="3"/>
    </row>
    <row r="4" customHeight="1" spans="2:23">
      <c r="B4" s="123">
        <v>24</v>
      </c>
      <c r="C4" s="132" t="s">
        <v>154</v>
      </c>
      <c r="D4" s="123">
        <v>41</v>
      </c>
      <c r="E4" s="123">
        <f>VLOOKUP(B4,选手名单!A:I,3,0)</f>
        <v>267719332</v>
      </c>
      <c r="F4" s="123">
        <f>VLOOKUP(B4,选手名单!A:I,5,0)</f>
        <v>6500</v>
      </c>
      <c r="G4" s="128" t="str">
        <f>VLOOKUP(B4,选手名单!A:I,7,0)</f>
        <v>二,四,五</v>
      </c>
      <c r="H4" s="128"/>
      <c r="I4" s="99" t="s">
        <v>138</v>
      </c>
      <c r="J4" s="99">
        <v>88</v>
      </c>
      <c r="K4" s="69" t="s">
        <v>131</v>
      </c>
      <c r="L4" s="69">
        <v>85</v>
      </c>
      <c r="M4" s="76"/>
      <c r="N4" s="76"/>
      <c r="O4" s="58"/>
      <c r="P4" s="60"/>
      <c r="Q4" s="61" t="s">
        <v>289</v>
      </c>
      <c r="R4" s="58"/>
      <c r="S4" s="58"/>
      <c r="T4" s="58"/>
      <c r="U4"/>
      <c r="V4"/>
      <c r="W4" s="3"/>
    </row>
    <row r="5" customHeight="1" spans="2:23">
      <c r="B5" s="123">
        <v>8</v>
      </c>
      <c r="C5" s="132" t="s">
        <v>141</v>
      </c>
      <c r="D5" s="123">
        <v>45</v>
      </c>
      <c r="E5" s="123">
        <f>VLOOKUP(B5,选手名单!A:I,3,0)</f>
        <v>136537289</v>
      </c>
      <c r="F5" s="123">
        <f>VLOOKUP(B5,选手名单!A:I,5,0)</f>
        <v>5000</v>
      </c>
      <c r="G5" s="128" t="str">
        <f>VLOOKUP(B5,选手名单!A:I,7,0)</f>
        <v>一,二,三,四</v>
      </c>
      <c r="H5" s="128"/>
      <c r="I5" s="99" t="s">
        <v>618</v>
      </c>
      <c r="J5" s="99">
        <v>87</v>
      </c>
      <c r="K5" s="69" t="s">
        <v>312</v>
      </c>
      <c r="L5" s="69">
        <v>78</v>
      </c>
      <c r="M5" s="76"/>
      <c r="N5"/>
      <c r="O5" s="58"/>
      <c r="P5" s="62"/>
      <c r="Q5" s="41"/>
      <c r="R5" s="59"/>
      <c r="S5" s="60"/>
      <c r="T5" s="63"/>
      <c r="U5"/>
      <c r="V5"/>
      <c r="W5" s="3"/>
    </row>
    <row r="6" customHeight="1" spans="2:23">
      <c r="B6" s="123">
        <v>17</v>
      </c>
      <c r="C6" s="132" t="s">
        <v>124</v>
      </c>
      <c r="D6" s="123">
        <v>45</v>
      </c>
      <c r="E6" s="123">
        <f>VLOOKUP(B6,选手名单!A:I,3,0)</f>
        <v>158643480</v>
      </c>
      <c r="F6" s="123">
        <f>VLOOKUP(B6,选手名单!A:I,5,0)</f>
        <v>4000</v>
      </c>
      <c r="G6" s="128" t="str">
        <f>VLOOKUP(B6,选手名单!A:I,7,0)</f>
        <v>一,二,三,四,五</v>
      </c>
      <c r="H6" s="128"/>
      <c r="I6" s="99" t="s">
        <v>152</v>
      </c>
      <c r="J6" s="99">
        <v>56</v>
      </c>
      <c r="K6" s="69" t="s">
        <v>367</v>
      </c>
      <c r="L6" s="69">
        <v>65</v>
      </c>
      <c r="M6" s="75"/>
      <c r="N6" s="77" t="s">
        <v>289</v>
      </c>
      <c r="O6" s="58"/>
      <c r="P6" s="60"/>
      <c r="Q6" s="42"/>
      <c r="R6" s="58"/>
      <c r="S6" s="60"/>
      <c r="T6" s="1"/>
      <c r="U6"/>
      <c r="V6"/>
      <c r="W6" s="3"/>
    </row>
    <row r="7" customHeight="1" spans="2:23">
      <c r="B7" s="123">
        <v>30</v>
      </c>
      <c r="C7" s="132" t="s">
        <v>427</v>
      </c>
      <c r="D7" s="123">
        <v>45</v>
      </c>
      <c r="E7" s="123">
        <f>VLOOKUP(B7,选手名单!A:I,3,0)</f>
        <v>137852652</v>
      </c>
      <c r="F7" s="123">
        <f>VLOOKUP(B7,选手名单!A:I,5,0)</f>
        <v>6800</v>
      </c>
      <c r="G7" s="128" t="str">
        <f>VLOOKUP(B7,选手名单!A:I,7,0)</f>
        <v>一,二,四,五</v>
      </c>
      <c r="H7" s="128"/>
      <c r="I7" s="99" t="s">
        <v>420</v>
      </c>
      <c r="J7" s="99">
        <v>52</v>
      </c>
      <c r="K7" s="67" t="s">
        <v>368</v>
      </c>
      <c r="L7" s="67">
        <v>65</v>
      </c>
      <c r="M7" s="75"/>
      <c r="N7" s="41"/>
      <c r="O7" s="59"/>
      <c r="P7" s="58"/>
      <c r="Q7"/>
      <c r="R7" s="58"/>
      <c r="S7" s="60"/>
      <c r="T7" s="66"/>
      <c r="U7"/>
      <c r="V7"/>
      <c r="W7" s="3"/>
    </row>
    <row r="8" customHeight="1" spans="2:23">
      <c r="B8" s="123">
        <v>4</v>
      </c>
      <c r="C8" s="152" t="s">
        <v>120</v>
      </c>
      <c r="D8" s="123">
        <v>50</v>
      </c>
      <c r="E8" s="123">
        <f>VLOOKUP(B8,选手名单!A:I,3,0)</f>
        <v>77006306</v>
      </c>
      <c r="F8" s="123">
        <f>VLOOKUP(B8,选手名单!A:I,5,0)</f>
        <v>4600</v>
      </c>
      <c r="G8" s="128" t="str">
        <f>VLOOKUP(B8,选手名单!A:I,7,0)</f>
        <v>三,四</v>
      </c>
      <c r="H8" s="128"/>
      <c r="I8" s="99" t="s">
        <v>727</v>
      </c>
      <c r="J8" s="99">
        <f>SUM(J3:J7)</f>
        <v>311</v>
      </c>
      <c r="K8" s="67" t="s">
        <v>727</v>
      </c>
      <c r="L8" s="67">
        <f>SUM(L3:L7)</f>
        <v>323</v>
      </c>
      <c r="M8" s="78"/>
      <c r="N8" s="78"/>
      <c r="O8" s="49"/>
      <c r="P8" s="49"/>
      <c r="Q8"/>
      <c r="R8" s="58"/>
      <c r="S8" s="60"/>
      <c r="T8" s="77" t="s">
        <v>753</v>
      </c>
      <c r="U8"/>
      <c r="V8"/>
      <c r="W8" s="3"/>
    </row>
    <row r="9" customHeight="1" spans="2:23">
      <c r="B9" s="123">
        <v>23</v>
      </c>
      <c r="C9" s="152" t="s">
        <v>499</v>
      </c>
      <c r="D9" s="123">
        <v>50</v>
      </c>
      <c r="E9" s="123">
        <f>VLOOKUP(B9,选手名单!A:I,3,0)</f>
        <v>417861014</v>
      </c>
      <c r="F9" s="123">
        <f>VLOOKUP(B9,选手名单!A:I,5,0)</f>
        <v>8300</v>
      </c>
      <c r="G9" s="128" t="str">
        <f>VLOOKUP(B9,选手名单!A:I,7,0)</f>
        <v>一,二</v>
      </c>
      <c r="H9" s="128"/>
      <c r="I9" s="68" t="s">
        <v>762</v>
      </c>
      <c r="J9" s="41"/>
      <c r="K9" s="101" t="s">
        <v>763</v>
      </c>
      <c r="L9" s="41"/>
      <c r="M9" s="66"/>
      <c r="N9" s="61" t="s">
        <v>754</v>
      </c>
      <c r="O9" s="58"/>
      <c r="P9" s="58"/>
      <c r="Q9"/>
      <c r="R9" s="58"/>
      <c r="S9" s="62"/>
      <c r="T9" s="41"/>
      <c r="U9" s="80"/>
      <c r="V9"/>
      <c r="W9" s="3"/>
    </row>
    <row r="10" customHeight="1" spans="2:23">
      <c r="B10" s="123">
        <v>18</v>
      </c>
      <c r="C10" s="152" t="s">
        <v>420</v>
      </c>
      <c r="D10" s="123">
        <v>52</v>
      </c>
      <c r="E10" s="123">
        <f>VLOOKUP(B10,选手名单!A:I,3,0)</f>
        <v>417868870</v>
      </c>
      <c r="F10" s="123">
        <f>VLOOKUP(B10,选手名单!A:I,5,0)</f>
        <v>5500</v>
      </c>
      <c r="G10" s="128" t="str">
        <f>VLOOKUP(B10,选手名单!A:I,7,0)</f>
        <v>一,四,五</v>
      </c>
      <c r="H10" s="128"/>
      <c r="I10" s="68" t="s">
        <v>154</v>
      </c>
      <c r="J10" s="68">
        <v>41</v>
      </c>
      <c r="K10" s="101" t="s">
        <v>141</v>
      </c>
      <c r="L10" s="101">
        <v>45</v>
      </c>
      <c r="M10" s="66"/>
      <c r="N10" s="41"/>
      <c r="O10" s="59"/>
      <c r="P10" s="60"/>
      <c r="Q10"/>
      <c r="R10" s="58"/>
      <c r="S10" s="60"/>
      <c r="T10" s="79"/>
      <c r="U10" s="81"/>
      <c r="V10"/>
      <c r="W10" s="3"/>
    </row>
    <row r="11" customHeight="1" spans="2:23">
      <c r="B11" s="123">
        <v>29</v>
      </c>
      <c r="C11" s="152" t="s">
        <v>414</v>
      </c>
      <c r="D11" s="123">
        <v>52</v>
      </c>
      <c r="E11" s="123">
        <f>VLOOKUP(B11,选手名单!A:I,3,0)</f>
        <v>178988576</v>
      </c>
      <c r="F11" s="123">
        <f>VLOOKUP(B11,选手名单!A:I,5,0)</f>
        <v>5000</v>
      </c>
      <c r="G11" s="128" t="str">
        <f>VLOOKUP(B11,选手名单!A:I,7,0)</f>
        <v>一,三</v>
      </c>
      <c r="H11" s="128"/>
      <c r="I11" s="68" t="s">
        <v>276</v>
      </c>
      <c r="J11" s="68">
        <v>90</v>
      </c>
      <c r="K11" s="101" t="s">
        <v>318</v>
      </c>
      <c r="L11" s="101">
        <v>76</v>
      </c>
      <c r="M11" s="76"/>
      <c r="N11" s="76"/>
      <c r="O11" s="58"/>
      <c r="P11" s="60"/>
      <c r="Q11" s="61" t="s">
        <v>753</v>
      </c>
      <c r="R11" s="58"/>
      <c r="S11" s="60"/>
      <c r="T11"/>
      <c r="U11" s="81"/>
      <c r="V11"/>
      <c r="W11" s="3"/>
    </row>
    <row r="12" customHeight="1" spans="2:23">
      <c r="B12" s="123">
        <v>26</v>
      </c>
      <c r="C12" s="152" t="s">
        <v>152</v>
      </c>
      <c r="D12" s="123">
        <v>56</v>
      </c>
      <c r="E12" s="123">
        <f>VLOOKUP(B12,选手名单!A:I,3,0)</f>
        <v>1259908216</v>
      </c>
      <c r="F12" s="123">
        <f>VLOOKUP(B12,选手名单!A:I,5,0)</f>
        <v>7500</v>
      </c>
      <c r="G12" s="128" t="str">
        <f>VLOOKUP(B12,选手名单!A:I,7,0)</f>
        <v>二</v>
      </c>
      <c r="H12" s="129"/>
      <c r="I12" s="68" t="s">
        <v>247</v>
      </c>
      <c r="J12" s="68">
        <v>75</v>
      </c>
      <c r="K12" s="101" t="s">
        <v>396</v>
      </c>
      <c r="L12" s="101">
        <v>58</v>
      </c>
      <c r="M12" s="76"/>
      <c r="N12"/>
      <c r="O12" s="58"/>
      <c r="P12" s="62"/>
      <c r="Q12" s="41"/>
      <c r="R12" s="59"/>
      <c r="S12" s="58"/>
      <c r="T12"/>
      <c r="U12" s="81"/>
      <c r="V12"/>
      <c r="W12" s="3" t="s">
        <v>730</v>
      </c>
    </row>
    <row r="13" customHeight="1" spans="2:24">
      <c r="B13" s="123">
        <v>19</v>
      </c>
      <c r="C13" s="152" t="s">
        <v>396</v>
      </c>
      <c r="D13" s="123">
        <v>58</v>
      </c>
      <c r="E13" s="123">
        <f>VLOOKUP(B13,选手名单!A:I,3,0)</f>
        <v>277443592</v>
      </c>
      <c r="F13" s="123">
        <f>VLOOKUP(B13,选手名单!A:I,5,0)</f>
        <v>6800</v>
      </c>
      <c r="G13" s="128" t="str">
        <f>VLOOKUP(B13,选手名单!A:I,7,0)</f>
        <v>一</v>
      </c>
      <c r="H13" s="129"/>
      <c r="I13" s="68" t="s">
        <v>499</v>
      </c>
      <c r="J13" s="68">
        <v>50</v>
      </c>
      <c r="K13" s="101" t="s">
        <v>250</v>
      </c>
      <c r="L13" s="101">
        <v>68</v>
      </c>
      <c r="M13" s="75"/>
      <c r="N13" s="77" t="s">
        <v>753</v>
      </c>
      <c r="O13" s="58"/>
      <c r="P13" s="60"/>
      <c r="Q13" s="1"/>
      <c r="R13" s="58"/>
      <c r="S13" s="58"/>
      <c r="T13"/>
      <c r="U13" s="81"/>
      <c r="V13"/>
      <c r="W13" s="82" t="s">
        <v>753</v>
      </c>
      <c r="X13" s="103" t="s">
        <v>427</v>
      </c>
    </row>
    <row r="14" customHeight="1" spans="2:24">
      <c r="B14" s="123">
        <v>28</v>
      </c>
      <c r="C14" s="152" t="s">
        <v>394</v>
      </c>
      <c r="D14" s="123">
        <v>59</v>
      </c>
      <c r="E14" s="123">
        <f>VLOOKUP(B14,选手名单!A:I,3,0)</f>
        <v>323934704</v>
      </c>
      <c r="F14" s="123">
        <f>VLOOKUP(B14,选手名单!A:I,5,0)</f>
        <v>6400</v>
      </c>
      <c r="G14" s="128" t="str">
        <f>VLOOKUP(B14,选手名单!A:I,7,0)</f>
        <v>一</v>
      </c>
      <c r="H14" s="128"/>
      <c r="I14" s="68" t="s">
        <v>120</v>
      </c>
      <c r="J14" s="68">
        <v>50</v>
      </c>
      <c r="K14" s="101" t="s">
        <v>330</v>
      </c>
      <c r="L14" s="101">
        <v>72</v>
      </c>
      <c r="M14" s="75"/>
      <c r="N14" s="41"/>
      <c r="O14" s="59"/>
      <c r="P14" s="58"/>
      <c r="Q14" s="1"/>
      <c r="R14" s="58"/>
      <c r="S14" s="58"/>
      <c r="T14"/>
      <c r="U14" s="81"/>
      <c r="V14"/>
      <c r="W14" s="41"/>
      <c r="X14" s="103" t="s">
        <v>84</v>
      </c>
    </row>
    <row r="15" customHeight="1" spans="2:24">
      <c r="B15" s="123">
        <v>2</v>
      </c>
      <c r="C15" s="152" t="s">
        <v>132</v>
      </c>
      <c r="D15" s="123">
        <v>60</v>
      </c>
      <c r="E15" s="123">
        <f>VLOOKUP(B15,选手名单!A:I,3,0)</f>
        <v>186753076</v>
      </c>
      <c r="F15" s="123">
        <f>VLOOKUP(B15,选手名单!A:I,5,0)</f>
        <v>7500</v>
      </c>
      <c r="G15" s="128" t="str">
        <f>VLOOKUP(B15,选手名单!A:I,7,0)</f>
        <v>一,二,三</v>
      </c>
      <c r="H15" s="129"/>
      <c r="I15" s="68" t="s">
        <v>727</v>
      </c>
      <c r="J15" s="68">
        <f>SUM(J10:J13)</f>
        <v>256</v>
      </c>
      <c r="K15" s="101" t="s">
        <v>727</v>
      </c>
      <c r="L15" s="101">
        <f>SUM(L10:L14)</f>
        <v>319</v>
      </c>
      <c r="M15"/>
      <c r="N15"/>
      <c r="O15"/>
      <c r="P15"/>
      <c r="Q15"/>
      <c r="R15"/>
      <c r="S15" s="58"/>
      <c r="T15"/>
      <c r="U15" s="81"/>
      <c r="V15"/>
      <c r="W15" s="41"/>
      <c r="X15" s="103">
        <v>21</v>
      </c>
    </row>
    <row r="16" customHeight="1" spans="2:24">
      <c r="B16" s="123">
        <v>9</v>
      </c>
      <c r="C16" s="152" t="s">
        <v>118</v>
      </c>
      <c r="D16" s="123">
        <v>60</v>
      </c>
      <c r="E16" s="123">
        <f>VLOOKUP(B16,选手名单!A:I,3,0)</f>
        <v>400294058</v>
      </c>
      <c r="F16" s="123">
        <f>VLOOKUP(B16,选手名单!A:I,5,0)</f>
        <v>4000</v>
      </c>
      <c r="G16" s="128" t="str">
        <f>VLOOKUP(B16,选手名单!A:I,7,0)</f>
        <v>四,五</v>
      </c>
      <c r="H16" s="128"/>
      <c r="I16" s="71" t="s">
        <v>764</v>
      </c>
      <c r="J16" s="41"/>
      <c r="K16" s="155" t="s">
        <v>765</v>
      </c>
      <c r="L16" s="154"/>
      <c r="M16" s="66"/>
      <c r="N16" s="61" t="s">
        <v>755</v>
      </c>
      <c r="O16" s="58"/>
      <c r="P16" s="58"/>
      <c r="Q16" s="1"/>
      <c r="R16" s="58"/>
      <c r="S16" s="58"/>
      <c r="T16"/>
      <c r="U16" s="81"/>
      <c r="V16" s="83"/>
      <c r="W16" s="41"/>
      <c r="X16" s="103" t="s">
        <v>394</v>
      </c>
    </row>
    <row r="17" customHeight="1" spans="2:24">
      <c r="B17" s="123">
        <v>10</v>
      </c>
      <c r="C17" s="152" t="s">
        <v>114</v>
      </c>
      <c r="D17" s="123">
        <v>65</v>
      </c>
      <c r="E17" s="123">
        <f>VLOOKUP(B17,选手名单!A:I,3,0)</f>
        <v>138558413</v>
      </c>
      <c r="F17" s="123">
        <f>VLOOKUP(B17,选手名单!A:I,5,0)</f>
        <v>7500</v>
      </c>
      <c r="G17" s="128" t="str">
        <f>VLOOKUP(B17,选手名单!A:I,7,0)</f>
        <v>二</v>
      </c>
      <c r="H17" s="128"/>
      <c r="I17" s="71" t="s">
        <v>124</v>
      </c>
      <c r="J17" s="71">
        <v>45</v>
      </c>
      <c r="K17" s="103" t="s">
        <v>427</v>
      </c>
      <c r="L17" s="103">
        <v>45</v>
      </c>
      <c r="M17" s="66"/>
      <c r="N17" s="41"/>
      <c r="O17" s="59"/>
      <c r="P17" s="60"/>
      <c r="Q17" s="51"/>
      <c r="R17" s="58"/>
      <c r="S17" s="58"/>
      <c r="T17"/>
      <c r="U17" s="81"/>
      <c r="V17"/>
      <c r="W17" s="41"/>
      <c r="X17" s="102" t="s">
        <v>132</v>
      </c>
    </row>
    <row r="18" customHeight="1" spans="2:23">
      <c r="B18" s="123">
        <v>21</v>
      </c>
      <c r="C18" s="152" t="s">
        <v>368</v>
      </c>
      <c r="D18" s="123">
        <v>65</v>
      </c>
      <c r="E18" s="123">
        <f>VLOOKUP(B18,选手名单!A:I,3,0)</f>
        <v>351772086</v>
      </c>
      <c r="F18" s="123">
        <f>VLOOKUP(B18,选手名单!A:I,5,0)</f>
        <v>3000</v>
      </c>
      <c r="G18" s="128" t="str">
        <f>VLOOKUP(B18,选手名单!A:I,7,0)</f>
        <v>三,四,五</v>
      </c>
      <c r="H18" s="128"/>
      <c r="I18" s="71" t="s">
        <v>118</v>
      </c>
      <c r="J18" s="71">
        <v>60</v>
      </c>
      <c r="K18" s="103" t="s">
        <v>84</v>
      </c>
      <c r="L18" s="103">
        <v>88</v>
      </c>
      <c r="M18" s="76"/>
      <c r="N18" s="76"/>
      <c r="O18" s="58"/>
      <c r="P18" s="60"/>
      <c r="Q18" s="61" t="s">
        <v>766</v>
      </c>
      <c r="R18" s="58"/>
      <c r="S18" s="58"/>
      <c r="T18"/>
      <c r="U18" s="81"/>
      <c r="V18"/>
      <c r="W18" s="3"/>
    </row>
    <row r="19" customHeight="1" spans="2:23">
      <c r="B19" s="123">
        <v>22</v>
      </c>
      <c r="C19" s="152" t="s">
        <v>367</v>
      </c>
      <c r="D19" s="123">
        <v>65</v>
      </c>
      <c r="E19" s="123">
        <f>VLOOKUP(B19,选手名单!A:I,3,0)</f>
        <v>235611786</v>
      </c>
      <c r="F19" s="123">
        <f>VLOOKUP(B19,选手名单!A:I,5,0)</f>
        <v>4300</v>
      </c>
      <c r="G19" s="128" t="str">
        <f>VLOOKUP(B19,选手名单!A:I,7,0)</f>
        <v>二</v>
      </c>
      <c r="H19" s="128"/>
      <c r="I19" s="71" t="s">
        <v>107</v>
      </c>
      <c r="J19" s="71">
        <v>89</v>
      </c>
      <c r="K19" s="103">
        <v>21</v>
      </c>
      <c r="L19" s="103">
        <v>73</v>
      </c>
      <c r="M19" s="76"/>
      <c r="N19"/>
      <c r="O19" s="58"/>
      <c r="P19" s="62"/>
      <c r="Q19" s="41"/>
      <c r="R19" s="59"/>
      <c r="S19" s="60"/>
      <c r="T19"/>
      <c r="U19" s="81"/>
      <c r="V19"/>
      <c r="W19" s="3"/>
    </row>
    <row r="20" customHeight="1" spans="2:23">
      <c r="B20" s="123">
        <v>5</v>
      </c>
      <c r="C20" s="152" t="s">
        <v>250</v>
      </c>
      <c r="D20" s="123">
        <v>68</v>
      </c>
      <c r="E20" s="123">
        <f>VLOOKUP(B20,选手名单!A:I,3,0)</f>
        <v>154029585</v>
      </c>
      <c r="F20" s="123">
        <f>VLOOKUP(B20,选手名单!A:I,5,0)</f>
        <v>6000</v>
      </c>
      <c r="G20" s="128" t="str">
        <f>VLOOKUP(B20,选手名单!A:I,7,0)</f>
        <v>三</v>
      </c>
      <c r="H20" s="128"/>
      <c r="I20" s="71" t="s">
        <v>114</v>
      </c>
      <c r="J20" s="71">
        <v>65</v>
      </c>
      <c r="K20" s="103" t="s">
        <v>394</v>
      </c>
      <c r="L20" s="103">
        <v>59</v>
      </c>
      <c r="M20" s="75"/>
      <c r="N20" s="77" t="s">
        <v>757</v>
      </c>
      <c r="O20" s="58"/>
      <c r="P20" s="60"/>
      <c r="Q20" s="42"/>
      <c r="R20" s="58"/>
      <c r="S20" s="60"/>
      <c r="T20"/>
      <c r="U20" s="81"/>
      <c r="V20"/>
      <c r="W20" s="3"/>
    </row>
    <row r="21" customHeight="1" spans="2:23">
      <c r="B21" s="123">
        <v>27</v>
      </c>
      <c r="C21" s="152" t="s">
        <v>330</v>
      </c>
      <c r="D21" s="123">
        <v>72</v>
      </c>
      <c r="E21" s="123">
        <f>VLOOKUP(B21,选手名单!A:I,3,0)</f>
        <v>885588023</v>
      </c>
      <c r="F21" s="123">
        <f>VLOOKUP(B21,选手名单!A:I,5,0)</f>
        <v>7000</v>
      </c>
      <c r="G21" s="128" t="str">
        <f>VLOOKUP(B21,选手名单!A:I,7,0)</f>
        <v>一,二,三,四,五</v>
      </c>
      <c r="H21" s="128"/>
      <c r="I21" s="71" t="s">
        <v>414</v>
      </c>
      <c r="J21" s="71">
        <v>52</v>
      </c>
      <c r="K21" s="102" t="s">
        <v>132</v>
      </c>
      <c r="L21" s="102">
        <v>60</v>
      </c>
      <c r="M21" s="75"/>
      <c r="N21" s="41"/>
      <c r="O21" s="59"/>
      <c r="P21" s="58"/>
      <c r="Q21"/>
      <c r="R21" s="58"/>
      <c r="S21" s="60"/>
      <c r="T21"/>
      <c r="U21" s="81"/>
      <c r="V21"/>
      <c r="W21" s="3"/>
    </row>
    <row r="22" customHeight="1" spans="2:23">
      <c r="B22" s="123">
        <v>14</v>
      </c>
      <c r="C22" s="152">
        <v>21</v>
      </c>
      <c r="D22" s="123">
        <v>73</v>
      </c>
      <c r="E22" s="123">
        <f>VLOOKUP(B22,选手名单!A:I,3,0)</f>
        <v>228914641</v>
      </c>
      <c r="F22" s="123">
        <f>VLOOKUP(B22,选手名单!A:I,5,0)</f>
        <v>4600</v>
      </c>
      <c r="G22" s="128" t="str">
        <f>VLOOKUP(B22,选手名单!A:I,7,0)</f>
        <v>四,五</v>
      </c>
      <c r="H22" s="129"/>
      <c r="I22" s="71" t="s">
        <v>727</v>
      </c>
      <c r="J22" s="71">
        <f>SUM(J17:J21)</f>
        <v>311</v>
      </c>
      <c r="K22" s="102" t="s">
        <v>727</v>
      </c>
      <c r="L22" s="102">
        <f>SUM(L17:L21)</f>
        <v>325</v>
      </c>
      <c r="M22" s="78"/>
      <c r="N22" s="78"/>
      <c r="O22" s="49"/>
      <c r="P22" s="49"/>
      <c r="Q22"/>
      <c r="R22" s="58"/>
      <c r="S22" s="60"/>
      <c r="T22" s="77" t="s">
        <v>11</v>
      </c>
      <c r="U22" s="81"/>
      <c r="V22"/>
      <c r="W22" s="3"/>
    </row>
    <row r="23" customHeight="1" spans="2:23">
      <c r="B23" s="123">
        <v>25</v>
      </c>
      <c r="C23" s="152" t="s">
        <v>247</v>
      </c>
      <c r="D23" s="123">
        <v>75</v>
      </c>
      <c r="E23" s="123">
        <f>VLOOKUP(B23,选手名单!A:I,3,0)</f>
        <v>383560624</v>
      </c>
      <c r="F23" s="123">
        <f>VLOOKUP(B23,选手名单!A:I,5,0)</f>
        <v>7700</v>
      </c>
      <c r="G23" s="128" t="str">
        <f>VLOOKUP(B23,选手名单!A:I,7,0)</f>
        <v>四,五,三</v>
      </c>
      <c r="H23" s="129"/>
      <c r="M23" s="66"/>
      <c r="Q23"/>
      <c r="R23" s="58"/>
      <c r="S23" s="62"/>
      <c r="T23" s="41"/>
      <c r="U23" s="83"/>
      <c r="V23"/>
      <c r="W23" s="3"/>
    </row>
    <row r="24" customHeight="1" spans="2:23">
      <c r="B24" s="123">
        <v>3</v>
      </c>
      <c r="C24" s="152" t="s">
        <v>318</v>
      </c>
      <c r="D24" s="123">
        <v>76</v>
      </c>
      <c r="E24" s="123">
        <f>VLOOKUP(B24,选手名单!A:I,3,0)</f>
        <v>104465635</v>
      </c>
      <c r="F24" s="123">
        <f>VLOOKUP(B24,选手名单!A:I,5,0)</f>
        <v>6000</v>
      </c>
      <c r="G24" s="128" t="str">
        <f>VLOOKUP(B24,选手名单!A:I,7,0)</f>
        <v>一,二</v>
      </c>
      <c r="H24" s="129"/>
      <c r="M24" s="66"/>
      <c r="Q24"/>
      <c r="R24" s="58"/>
      <c r="S24" s="60"/>
      <c r="U24"/>
      <c r="V24"/>
      <c r="W24" s="3"/>
    </row>
    <row r="25" customHeight="1" spans="2:23">
      <c r="B25" s="123">
        <v>20</v>
      </c>
      <c r="C25" s="152" t="s">
        <v>312</v>
      </c>
      <c r="D25" s="123">
        <v>78</v>
      </c>
      <c r="E25" s="123">
        <f>VLOOKUP(B25,选手名单!A:I,3,0)</f>
        <v>168661508</v>
      </c>
      <c r="F25" s="123">
        <f>VLOOKUP(B25,选手名单!A:I,5,0)</f>
        <v>3400</v>
      </c>
      <c r="G25" s="128" t="str">
        <f>VLOOKUP(B25,选手名单!A:I,7,0)</f>
        <v>四,五</v>
      </c>
      <c r="H25" s="128"/>
      <c r="M25" s="76"/>
      <c r="Q25" s="61" t="s">
        <v>767</v>
      </c>
      <c r="R25" s="58"/>
      <c r="S25" s="60"/>
      <c r="T25" s="58"/>
      <c r="U25"/>
      <c r="V25"/>
      <c r="W25" s="3"/>
    </row>
    <row r="26" customHeight="1" spans="2:23">
      <c r="B26" s="123">
        <v>16</v>
      </c>
      <c r="C26" s="152" t="s">
        <v>131</v>
      </c>
      <c r="D26" s="123">
        <v>85</v>
      </c>
      <c r="E26" s="123">
        <f>VLOOKUP(B26,选手名单!A:I,3,0)</f>
        <v>189497913</v>
      </c>
      <c r="F26" s="123">
        <f>VLOOKUP(B26,选手名单!A:I,5,0)</f>
        <v>5300</v>
      </c>
      <c r="G26" s="128" t="str">
        <f>VLOOKUP(B26,选手名单!A:I,7,0)</f>
        <v>一,二,三,四,五</v>
      </c>
      <c r="H26" s="128"/>
      <c r="M26" s="76"/>
      <c r="Q26" s="41"/>
      <c r="R26" s="59"/>
      <c r="S26" s="58"/>
      <c r="T26" s="58"/>
      <c r="U26"/>
      <c r="V26"/>
      <c r="W26" s="3"/>
    </row>
    <row r="27" customHeight="1" spans="2:23">
      <c r="B27" s="123">
        <v>12</v>
      </c>
      <c r="C27" s="152" t="s">
        <v>618</v>
      </c>
      <c r="D27" s="123">
        <v>87</v>
      </c>
      <c r="E27" s="123">
        <f>VLOOKUP(B27,选手名单!A:I,3,0)</f>
        <v>1004877057</v>
      </c>
      <c r="F27" s="123">
        <f>VLOOKUP(B27,选手名单!A:I,5,0)</f>
        <v>9000</v>
      </c>
      <c r="G27" s="128" t="str">
        <f>VLOOKUP(B27,选手名单!A:I,7,0)</f>
        <v>一,二,三,四</v>
      </c>
      <c r="H27" s="128"/>
      <c r="M27" s="75"/>
      <c r="Q27" s="1"/>
      <c r="R27" s="58"/>
      <c r="S27" s="58"/>
      <c r="T27" s="58"/>
      <c r="U27"/>
      <c r="V27"/>
      <c r="W27" s="3"/>
    </row>
    <row r="28" customHeight="1" spans="2:23">
      <c r="B28" s="123">
        <v>7</v>
      </c>
      <c r="C28" s="152" t="s">
        <v>84</v>
      </c>
      <c r="D28" s="123">
        <v>88</v>
      </c>
      <c r="E28" s="123">
        <f>VLOOKUP(B28,选手名单!A:I,3,0)</f>
        <v>341670770</v>
      </c>
      <c r="F28" s="123">
        <f>VLOOKUP(B28,选手名单!A:I,5,0)</f>
        <v>9000</v>
      </c>
      <c r="G28" s="128" t="str">
        <f>VLOOKUP(B28,选手名单!A:I,7,0)</f>
        <v>二</v>
      </c>
      <c r="H28" s="128"/>
      <c r="M28" s="75"/>
      <c r="Q28" s="1"/>
      <c r="R28" s="58"/>
      <c r="S28" s="58"/>
      <c r="T28" s="58"/>
      <c r="U28"/>
      <c r="V28"/>
      <c r="W28" s="3"/>
    </row>
    <row r="29" customHeight="1" spans="2:8">
      <c r="B29" s="123">
        <v>11</v>
      </c>
      <c r="C29" s="152" t="s">
        <v>138</v>
      </c>
      <c r="D29" s="123">
        <v>88</v>
      </c>
      <c r="E29" s="123">
        <f>VLOOKUP(B29,选手名单!A:I,3,0)</f>
        <v>0</v>
      </c>
      <c r="F29" s="123">
        <f>VLOOKUP(B29,选手名单!A:I,5,0)</f>
        <v>5500</v>
      </c>
      <c r="G29" s="128" t="str">
        <f>VLOOKUP(B29,选手名单!A:I,7,0)</f>
        <v>四,五</v>
      </c>
      <c r="H29" s="128"/>
    </row>
    <row r="30" customHeight="1" spans="2:8">
      <c r="B30" s="123">
        <v>13</v>
      </c>
      <c r="C30" s="152" t="s">
        <v>107</v>
      </c>
      <c r="D30" s="123">
        <v>89</v>
      </c>
      <c r="E30" s="123">
        <f>VLOOKUP(B30,选手名单!A:I,3,0)</f>
        <v>187933845</v>
      </c>
      <c r="F30" s="123">
        <f>VLOOKUP(B30,选手名单!A:I,5,0)</f>
        <v>8100</v>
      </c>
      <c r="G30" s="128" t="str">
        <f>VLOOKUP(B30,选手名单!A:I,7,0)</f>
        <v>一,三</v>
      </c>
      <c r="H30" s="128"/>
    </row>
    <row r="31" customHeight="1" spans="2:8">
      <c r="B31" s="123">
        <v>6</v>
      </c>
      <c r="C31" s="152" t="s">
        <v>276</v>
      </c>
      <c r="D31" s="123">
        <v>90</v>
      </c>
      <c r="E31" s="123">
        <f>VLOOKUP(B31,选手名单!A:I,3,0)</f>
        <v>1255409177</v>
      </c>
      <c r="F31" s="123">
        <f>VLOOKUP(B31,选手名单!A:I,5,0)</f>
        <v>6200</v>
      </c>
      <c r="G31" s="128" t="str">
        <f>VLOOKUP(B31,选手名单!A:I,7,0)</f>
        <v>三</v>
      </c>
      <c r="H31" s="129"/>
    </row>
    <row r="32" customHeight="1" spans="2:8">
      <c r="B32" s="123">
        <v>31</v>
      </c>
      <c r="C32" s="127" t="str">
        <f>VLOOKUP(B32,选手名单!A:I,2,0)</f>
        <v>老K</v>
      </c>
      <c r="D32" s="123">
        <f>VLOOKUP(B32,选手名单!A:I,6,0)</f>
        <v>40</v>
      </c>
      <c r="E32" s="123">
        <f>VLOOKUP(B32,选手名单!A:I,3,0)</f>
        <v>148343069</v>
      </c>
      <c r="F32" s="123">
        <f>VLOOKUP(B32,选手名单!A:I,5,0)</f>
        <v>4000</v>
      </c>
      <c r="G32" s="128" t="str">
        <f>VLOOKUP(B32,选手名单!A:I,7,0)</f>
        <v>二,四,五</v>
      </c>
      <c r="H32" s="128"/>
    </row>
    <row r="33" customHeight="1" spans="2:8">
      <c r="B33" s="123">
        <v>32</v>
      </c>
      <c r="C33" s="127" t="str">
        <f>VLOOKUP(B33,选手名单!A:I,2,0)</f>
        <v>黑色柳丁</v>
      </c>
      <c r="D33" s="123">
        <f>VLOOKUP(B33,选手名单!A:I,6,0)</f>
        <v>76</v>
      </c>
      <c r="E33" s="123">
        <f>VLOOKUP(B33,选手名单!A:I,3,0)</f>
        <v>457383175</v>
      </c>
      <c r="F33" s="123">
        <f>VLOOKUP(B33,选手名单!A:I,5,0)</f>
        <v>0</v>
      </c>
      <c r="G33" s="128" t="str">
        <f>VLOOKUP(B33,选手名单!A:I,7,0)</f>
        <v>二</v>
      </c>
      <c r="H33" s="129"/>
    </row>
    <row r="34" customHeight="1" spans="2:8">
      <c r="B34" s="123">
        <v>33</v>
      </c>
      <c r="C34" s="127" t="str">
        <f>VLOOKUP(B34,选手名单!A:I,2,0)</f>
        <v>杜麦尼</v>
      </c>
      <c r="D34" s="123">
        <f>VLOOKUP(B34,选手名单!A:I,6,0)</f>
        <v>50</v>
      </c>
      <c r="E34" s="123">
        <f>VLOOKUP(B34,选手名单!A:I,3,0)</f>
        <v>157424993</v>
      </c>
      <c r="F34" s="123">
        <f>VLOOKUP(B34,选手名单!A:I,5,0)</f>
        <v>5000</v>
      </c>
      <c r="G34" s="128" t="str">
        <f>VLOOKUP(B34,选手名单!A:I,7,0)</f>
        <v>一,二</v>
      </c>
      <c r="H34" s="129"/>
    </row>
    <row r="35" customHeight="1" spans="2:8">
      <c r="B35" s="123">
        <v>34</v>
      </c>
      <c r="C35" s="127" t="str">
        <f>VLOOKUP(B35,选手名单!A:I,2,0)</f>
        <v>精品贵公子</v>
      </c>
      <c r="D35" s="123">
        <f>VLOOKUP(B35,选手名单!A:I,6,0)</f>
        <v>83</v>
      </c>
      <c r="E35" s="123">
        <f>VLOOKUP(B35,选手名单!A:I,3,0)</f>
        <v>0</v>
      </c>
      <c r="F35" s="123">
        <f>VLOOKUP(B35,选手名单!A:I,5,0)</f>
        <v>8600</v>
      </c>
      <c r="G35" s="128" t="str">
        <f>VLOOKUP(B35,选手名单!A:I,7,0)</f>
        <v>一,三</v>
      </c>
      <c r="H35" s="128"/>
    </row>
    <row r="36" customHeight="1" spans="2:8">
      <c r="B36" s="123">
        <v>35</v>
      </c>
      <c r="C36" s="127" t="str">
        <f>VLOOKUP(B36,选手名单!A:I,2,0)</f>
        <v>宇文成都</v>
      </c>
      <c r="D36" s="123">
        <f>VLOOKUP(B36,选手名单!A:I,6,0)</f>
        <v>55</v>
      </c>
      <c r="E36" s="123">
        <f>VLOOKUP(B36,选手名单!A:I,3,0)</f>
        <v>136662507</v>
      </c>
      <c r="F36" s="123">
        <f>VLOOKUP(B36,选手名单!A:I,5,0)</f>
        <v>5800</v>
      </c>
      <c r="G36" s="128" t="str">
        <f>VLOOKUP(B36,选手名单!A:I,7,0)</f>
        <v>三,四</v>
      </c>
      <c r="H36" s="128"/>
    </row>
    <row r="37" customHeight="1" spans="2:8">
      <c r="B37" s="123">
        <v>36</v>
      </c>
      <c r="C37" s="127" t="e">
        <f>VLOOKUP(B37,选手名单!A:I,2,0)</f>
        <v>#N/A</v>
      </c>
      <c r="D37" s="123" t="e">
        <f>VLOOKUP(B37,选手名单!A:I,6,0)</f>
        <v>#N/A</v>
      </c>
      <c r="E37" s="123" t="e">
        <f>VLOOKUP(B37,选手名单!A:I,3,0)</f>
        <v>#N/A</v>
      </c>
      <c r="F37" s="123" t="e">
        <f>VLOOKUP(B37,选手名单!A:I,5,0)</f>
        <v>#N/A</v>
      </c>
      <c r="G37" s="128" t="e">
        <f>VLOOKUP(B37,选手名单!A:I,7,0)</f>
        <v>#N/A</v>
      </c>
      <c r="H37" s="128"/>
    </row>
    <row r="38" customHeight="1" spans="2:8">
      <c r="B38" s="123">
        <v>37</v>
      </c>
      <c r="C38" s="127" t="e">
        <f>VLOOKUP(B38,选手名单!A:I,2,0)</f>
        <v>#N/A</v>
      </c>
      <c r="D38" s="123" t="e">
        <f>VLOOKUP(B38,选手名单!A:I,6,0)</f>
        <v>#N/A</v>
      </c>
      <c r="E38" s="123" t="e">
        <f>VLOOKUP(B38,选手名单!A:I,3,0)</f>
        <v>#N/A</v>
      </c>
      <c r="F38" s="123" t="e">
        <f>VLOOKUP(B38,选手名单!A:I,5,0)</f>
        <v>#N/A</v>
      </c>
      <c r="G38" s="128" t="e">
        <f>VLOOKUP(B38,选手名单!A:I,7,0)</f>
        <v>#N/A</v>
      </c>
      <c r="H38" s="128"/>
    </row>
    <row r="39" customHeight="1" spans="2:8">
      <c r="B39" s="123">
        <v>38</v>
      </c>
      <c r="C39" s="127" t="e">
        <f>VLOOKUP(B39,选手名单!A:I,2,0)</f>
        <v>#N/A</v>
      </c>
      <c r="D39" s="123" t="e">
        <f>VLOOKUP(B39,选手名单!A:I,6,0)</f>
        <v>#N/A</v>
      </c>
      <c r="E39" s="123" t="e">
        <f>VLOOKUP(B39,选手名单!A:I,3,0)</f>
        <v>#N/A</v>
      </c>
      <c r="F39" s="123" t="e">
        <f>VLOOKUP(B39,选手名单!A:I,5,0)</f>
        <v>#N/A</v>
      </c>
      <c r="G39" s="128" t="e">
        <f>VLOOKUP(B39,选手名单!A:I,7,0)</f>
        <v>#N/A</v>
      </c>
      <c r="H39" s="128"/>
    </row>
    <row r="40" customHeight="1" spans="2:8">
      <c r="B40" s="123">
        <v>39</v>
      </c>
      <c r="C40" s="127" t="e">
        <f>VLOOKUP(B40,选手名单!A:I,2,0)</f>
        <v>#N/A</v>
      </c>
      <c r="D40" s="123" t="e">
        <f>VLOOKUP(B40,选手名单!A:I,6,0)</f>
        <v>#N/A</v>
      </c>
      <c r="E40" s="123" t="e">
        <f>VLOOKUP(B40,选手名单!A:I,3,0)</f>
        <v>#N/A</v>
      </c>
      <c r="F40" s="123" t="e">
        <f>VLOOKUP(B40,选手名单!A:I,5,0)</f>
        <v>#N/A</v>
      </c>
      <c r="G40" s="128" t="e">
        <f>VLOOKUP(B40,选手名单!A:I,7,0)</f>
        <v>#N/A</v>
      </c>
      <c r="H40" s="129"/>
    </row>
    <row r="41" customHeight="1" spans="2:8">
      <c r="B41" s="123">
        <v>40</v>
      </c>
      <c r="C41" s="127" t="e">
        <f>VLOOKUP(B41,选手名单!A:I,2,0)</f>
        <v>#N/A</v>
      </c>
      <c r="D41" s="123" t="e">
        <f>VLOOKUP(B41,选手名单!A:I,6,0)</f>
        <v>#N/A</v>
      </c>
      <c r="E41" s="123" t="e">
        <f>VLOOKUP(B41,选手名单!A:I,3,0)</f>
        <v>#N/A</v>
      </c>
      <c r="F41" s="123" t="e">
        <f>VLOOKUP(B41,选手名单!A:I,5,0)</f>
        <v>#N/A</v>
      </c>
      <c r="G41" s="128" t="e">
        <f>VLOOKUP(B41,选手名单!A:I,7,0)</f>
        <v>#N/A</v>
      </c>
      <c r="H41" s="129"/>
    </row>
  </sheetData>
  <mergeCells count="26">
    <mergeCell ref="N1:T1"/>
    <mergeCell ref="I2:J2"/>
    <mergeCell ref="K2:L2"/>
    <mergeCell ref="I9:J9"/>
    <mergeCell ref="K9:L9"/>
    <mergeCell ref="I16:J16"/>
    <mergeCell ref="K16:L16"/>
    <mergeCell ref="N2:N3"/>
    <mergeCell ref="N4:N5"/>
    <mergeCell ref="N6:N7"/>
    <mergeCell ref="N9:N10"/>
    <mergeCell ref="N11:N12"/>
    <mergeCell ref="N13:N14"/>
    <mergeCell ref="N16:N17"/>
    <mergeCell ref="N18:N19"/>
    <mergeCell ref="N20:N21"/>
    <mergeCell ref="Q4:Q5"/>
    <mergeCell ref="Q6:Q10"/>
    <mergeCell ref="Q11:Q12"/>
    <mergeCell ref="Q18:Q19"/>
    <mergeCell ref="Q20:Q24"/>
    <mergeCell ref="Q25:Q26"/>
    <mergeCell ref="T8:T9"/>
    <mergeCell ref="T10:T21"/>
    <mergeCell ref="T22:T23"/>
    <mergeCell ref="W13:W17"/>
  </mergeCells>
  <conditionalFormatting sqref="D1:D1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0302内战">
    <tabColor rgb="FFFFFFFF"/>
  </sheetPr>
  <dimension ref="A1:AE55"/>
  <sheetViews>
    <sheetView workbookViewId="0">
      <selection activeCell="A1" sqref="A1"/>
    </sheetView>
  </sheetViews>
  <sheetFormatPr defaultColWidth="14" defaultRowHeight="18" customHeight="1"/>
  <cols>
    <col min="1" max="1" width="2.828125" style="130" customWidth="1"/>
    <col min="2" max="2" width="6.34375" style="119" customWidth="1"/>
    <col min="3" max="3" width="13.671875" style="34"/>
    <col min="4" max="4" width="9.4453125" customWidth="1"/>
    <col min="8" max="8" width="5.390625" customWidth="1"/>
    <col min="15" max="15" width="3.5078125" customWidth="1"/>
    <col min="17" max="18" width="3.234375" customWidth="1"/>
    <col min="20" max="21" width="3.234375" customWidth="1"/>
    <col min="23" max="24" width="3.234375" customWidth="1"/>
    <col min="26" max="26" width="3.234375" customWidth="1"/>
    <col min="27" max="27" width="3.234375" style="34" customWidth="1"/>
    <col min="28" max="31" width="13.671875" style="34"/>
  </cols>
  <sheetData>
    <row r="1" customHeight="1" spans="1:10">
      <c r="A1" s="131"/>
      <c r="B1" s="121" t="s">
        <v>720</v>
      </c>
      <c r="C1" s="121" t="s">
        <v>270</v>
      </c>
      <c r="D1" s="84" t="s">
        <v>721</v>
      </c>
      <c r="E1" s="84" t="s">
        <v>271</v>
      </c>
      <c r="F1" s="84" t="s">
        <v>722</v>
      </c>
      <c r="G1" s="84" t="s">
        <v>226</v>
      </c>
      <c r="H1" s="84" t="s">
        <v>723</v>
      </c>
      <c r="I1" s="34"/>
      <c r="J1" s="34"/>
    </row>
    <row r="2" customHeight="1" spans="2:22">
      <c r="B2" s="123"/>
      <c r="C2" s="127" t="e">
        <f>VLOOKUP(B2,选手名单!A:I,2,0)</f>
        <v>#N/A</v>
      </c>
      <c r="D2" s="123" t="e">
        <f>VLOOKUP(B2,选手名单!A:I,6,0)</f>
        <v>#N/A</v>
      </c>
      <c r="E2" s="123" t="e">
        <f>VLOOKUP(B2,选手名单!A:I,3,0)</f>
        <v>#N/A</v>
      </c>
      <c r="F2" s="123" t="e">
        <f>VLOOKUP(B2,选手名单!A:I,5,0)</f>
        <v>#N/A</v>
      </c>
      <c r="G2" s="128" t="e">
        <f>VLOOKUP(B2,选手名单!A:I,7,0)</f>
        <v>#N/A</v>
      </c>
      <c r="H2" s="128"/>
      <c r="I2" s="99"/>
      <c r="J2" s="41"/>
      <c r="K2" s="67"/>
      <c r="L2" s="41"/>
      <c r="M2" s="68"/>
      <c r="N2" s="41"/>
      <c r="P2" s="86" t="s">
        <v>84</v>
      </c>
      <c r="Q2" s="58"/>
      <c r="R2" s="58"/>
      <c r="S2" s="1"/>
      <c r="T2" s="58"/>
      <c r="U2" s="58"/>
      <c r="V2" s="58"/>
    </row>
    <row r="3" customHeight="1" spans="2:22">
      <c r="B3" s="123"/>
      <c r="C3" s="127" t="e">
        <f>VLOOKUP(B3,选手名单!A:I,2,0)</f>
        <v>#N/A</v>
      </c>
      <c r="D3" s="123" t="e">
        <f>VLOOKUP(B3,选手名单!A:I,6,0)</f>
        <v>#N/A</v>
      </c>
      <c r="E3" s="123" t="e">
        <f>VLOOKUP(B3,选手名单!A:I,3,0)</f>
        <v>#N/A</v>
      </c>
      <c r="F3" s="123" t="e">
        <f>VLOOKUP(B3,选手名单!A:I,5,0)</f>
        <v>#N/A</v>
      </c>
      <c r="G3" s="128" t="e">
        <f>VLOOKUP(B3,选手名单!A:I,7,0)</f>
        <v>#N/A</v>
      </c>
      <c r="H3" s="129"/>
      <c r="I3" s="99"/>
      <c r="J3" s="99"/>
      <c r="K3" s="69"/>
      <c r="L3" s="69"/>
      <c r="M3" s="68"/>
      <c r="N3" s="68"/>
      <c r="P3" s="41"/>
      <c r="Q3" s="59"/>
      <c r="R3" s="60"/>
      <c r="S3" s="51"/>
      <c r="T3" s="58"/>
      <c r="U3" s="58"/>
      <c r="V3" s="58"/>
    </row>
    <row r="4" customHeight="1" spans="2:22">
      <c r="B4" s="123"/>
      <c r="C4" s="127" t="e">
        <f>VLOOKUP(B4,选手名单!A:I,2,0)</f>
        <v>#N/A</v>
      </c>
      <c r="D4" s="123" t="e">
        <f>VLOOKUP(B4,选手名单!A:I,6,0)</f>
        <v>#N/A</v>
      </c>
      <c r="E4" s="123" t="e">
        <f>VLOOKUP(B4,选手名单!A:I,3,0)</f>
        <v>#N/A</v>
      </c>
      <c r="F4" s="123" t="e">
        <f>VLOOKUP(B4,选手名单!A:I,5,0)</f>
        <v>#N/A</v>
      </c>
      <c r="G4" s="128" t="e">
        <f>VLOOKUP(B4,选手名单!A:I,7,0)</f>
        <v>#N/A</v>
      </c>
      <c r="H4" s="129"/>
      <c r="I4" s="99"/>
      <c r="J4" s="99"/>
      <c r="K4" s="69"/>
      <c r="L4" s="69"/>
      <c r="M4" s="68"/>
      <c r="N4" s="68"/>
      <c r="P4" s="63" t="s">
        <v>735</v>
      </c>
      <c r="Q4" s="58"/>
      <c r="R4" s="60"/>
      <c r="S4" s="86" t="s">
        <v>300</v>
      </c>
      <c r="T4" s="58"/>
      <c r="U4" s="58"/>
      <c r="V4" s="58"/>
    </row>
    <row r="5" customHeight="1" spans="2:22">
      <c r="B5" s="123"/>
      <c r="C5" s="127" t="e">
        <f>VLOOKUP(B5,选手名单!A:I,2,0)</f>
        <v>#N/A</v>
      </c>
      <c r="D5" s="123" t="e">
        <f>VLOOKUP(B5,选手名单!A:I,6,0)</f>
        <v>#N/A</v>
      </c>
      <c r="E5" s="123" t="e">
        <f>VLOOKUP(B5,选手名单!A:I,3,0)</f>
        <v>#N/A</v>
      </c>
      <c r="F5" s="123" t="e">
        <f>VLOOKUP(B5,选手名单!A:I,5,0)</f>
        <v>#N/A</v>
      </c>
      <c r="G5" s="128" t="e">
        <f>VLOOKUP(B5,选手名单!A:I,7,0)</f>
        <v>#N/A</v>
      </c>
      <c r="H5" s="128"/>
      <c r="I5" s="99"/>
      <c r="J5" s="99"/>
      <c r="K5" s="69"/>
      <c r="L5" s="69"/>
      <c r="M5" s="68"/>
      <c r="N5" s="68"/>
      <c r="Q5" s="58"/>
      <c r="R5" s="62"/>
      <c r="S5" s="41"/>
      <c r="T5" s="59"/>
      <c r="U5" s="60"/>
      <c r="V5" s="63"/>
    </row>
    <row r="6" customHeight="1" spans="2:22">
      <c r="B6" s="123"/>
      <c r="C6" s="127" t="e">
        <f>VLOOKUP(B6,选手名单!A:I,2,0)</f>
        <v>#N/A</v>
      </c>
      <c r="D6" s="123" t="e">
        <f>VLOOKUP(B6,选手名单!A:I,6,0)</f>
        <v>#N/A</v>
      </c>
      <c r="E6" s="123" t="e">
        <f>VLOOKUP(B6,选手名单!A:I,3,0)</f>
        <v>#N/A</v>
      </c>
      <c r="F6" s="123" t="e">
        <f>VLOOKUP(B6,选手名单!A:I,5,0)</f>
        <v>#N/A</v>
      </c>
      <c r="G6" s="128" t="e">
        <f>VLOOKUP(B6,选手名单!A:I,7,0)</f>
        <v>#N/A</v>
      </c>
      <c r="H6" s="128"/>
      <c r="I6" s="99"/>
      <c r="J6" s="99"/>
      <c r="K6" s="69"/>
      <c r="L6" s="69"/>
      <c r="M6" s="68"/>
      <c r="N6" s="68"/>
      <c r="P6" s="114" t="s">
        <v>300</v>
      </c>
      <c r="Q6" s="58"/>
      <c r="R6" s="60"/>
      <c r="S6" s="63" t="s">
        <v>742</v>
      </c>
      <c r="T6" s="58"/>
      <c r="U6" s="60"/>
      <c r="V6" s="1"/>
    </row>
    <row r="7" customHeight="1" spans="2:22">
      <c r="B7" s="123"/>
      <c r="C7" s="127" t="e">
        <f>VLOOKUP(B7,选手名单!A:I,2,0)</f>
        <v>#N/A</v>
      </c>
      <c r="D7" s="123" t="e">
        <f>VLOOKUP(B7,选手名单!A:I,6,0)</f>
        <v>#N/A</v>
      </c>
      <c r="E7" s="123" t="e">
        <f>VLOOKUP(B7,选手名单!A:I,3,0)</f>
        <v>#N/A</v>
      </c>
      <c r="F7" s="123" t="e">
        <f>VLOOKUP(B7,选手名单!A:I,5,0)</f>
        <v>#N/A</v>
      </c>
      <c r="G7" s="128" t="e">
        <f>VLOOKUP(B7,选手名单!A:I,7,0)</f>
        <v>#N/A</v>
      </c>
      <c r="H7" s="129"/>
      <c r="I7" s="99"/>
      <c r="J7" s="99"/>
      <c r="K7" s="69"/>
      <c r="L7" s="69"/>
      <c r="M7" s="68"/>
      <c r="N7" s="68"/>
      <c r="P7" s="41"/>
      <c r="Q7" s="59"/>
      <c r="R7" s="58"/>
      <c r="T7" s="58"/>
      <c r="U7" s="60"/>
      <c r="V7" s="139" t="s">
        <v>300</v>
      </c>
    </row>
    <row r="8" customHeight="1" spans="2:22">
      <c r="B8" s="123"/>
      <c r="C8" s="127" t="e">
        <f>VLOOKUP(B8,选手名单!A:I,2,0)</f>
        <v>#N/A</v>
      </c>
      <c r="D8" s="123" t="e">
        <f>VLOOKUP(B8,选手名单!A:I,6,0)</f>
        <v>#N/A</v>
      </c>
      <c r="E8" s="123" t="e">
        <f>VLOOKUP(B8,选手名单!A:I,3,0)</f>
        <v>#N/A</v>
      </c>
      <c r="F8" s="123" t="e">
        <f>VLOOKUP(B8,选手名单!A:I,5,0)</f>
        <v>#N/A</v>
      </c>
      <c r="G8" s="128" t="e">
        <f>VLOOKUP(B8,选手名单!A:I,7,0)</f>
        <v>#N/A</v>
      </c>
      <c r="H8" s="128"/>
      <c r="I8" s="99" t="s">
        <v>727</v>
      </c>
      <c r="J8" s="99">
        <f>SUM(J3:J7)</f>
        <v>0</v>
      </c>
      <c r="K8" s="67" t="s">
        <v>727</v>
      </c>
      <c r="L8" s="67">
        <f>SUM(L3:L7)</f>
        <v>0</v>
      </c>
      <c r="M8" s="68" t="s">
        <v>727</v>
      </c>
      <c r="N8" s="68">
        <f>SUM(N3:N6)</f>
        <v>0</v>
      </c>
      <c r="P8" s="49"/>
      <c r="Q8" s="49"/>
      <c r="R8" s="49"/>
      <c r="T8" s="58"/>
      <c r="U8" s="60"/>
      <c r="V8" s="41"/>
    </row>
    <row r="9" customHeight="1" spans="2:23">
      <c r="B9" s="123"/>
      <c r="C9" s="127" t="e">
        <f>VLOOKUP(B9,选手名单!A:I,2,0)</f>
        <v>#N/A</v>
      </c>
      <c r="D9" s="123" t="e">
        <f>VLOOKUP(B9,选手名单!A:I,6,0)</f>
        <v>#N/A</v>
      </c>
      <c r="E9" s="123" t="e">
        <f>VLOOKUP(B9,选手名单!A:I,3,0)</f>
        <v>#N/A</v>
      </c>
      <c r="F9" s="123" t="e">
        <f>VLOOKUP(B9,选手名单!A:I,5,0)</f>
        <v>#N/A</v>
      </c>
      <c r="G9" s="128" t="e">
        <f>VLOOKUP(B9,选手名单!A:I,7,0)</f>
        <v>#N/A</v>
      </c>
      <c r="H9" s="128"/>
      <c r="I9" s="101"/>
      <c r="J9" s="101"/>
      <c r="K9" s="71"/>
      <c r="L9" s="41"/>
      <c r="M9" s="102"/>
      <c r="N9" s="41"/>
      <c r="P9" s="51"/>
      <c r="Q9" s="58"/>
      <c r="R9" s="58"/>
      <c r="T9" s="58"/>
      <c r="U9" s="62"/>
      <c r="V9" s="41"/>
      <c r="W9" s="80"/>
    </row>
    <row r="10" customHeight="1" spans="2:23">
      <c r="B10" s="123"/>
      <c r="C10" s="127" t="e">
        <f>VLOOKUP(B10,选手名单!A:I,2,0)</f>
        <v>#N/A</v>
      </c>
      <c r="D10" s="123" t="e">
        <f>VLOOKUP(B10,选手名单!A:I,6,0)</f>
        <v>#N/A</v>
      </c>
      <c r="E10" s="123" t="e">
        <f>VLOOKUP(B10,选手名单!A:I,3,0)</f>
        <v>#N/A</v>
      </c>
      <c r="F10" s="123" t="e">
        <f>VLOOKUP(B10,选手名单!A:I,5,0)</f>
        <v>#N/A</v>
      </c>
      <c r="G10" s="128" t="e">
        <f>VLOOKUP(B10,选手名单!A:I,7,0)</f>
        <v>#N/A</v>
      </c>
      <c r="H10" s="128"/>
      <c r="I10" s="101"/>
      <c r="J10" s="101"/>
      <c r="K10" s="71"/>
      <c r="L10" s="71"/>
      <c r="M10" s="103"/>
      <c r="N10" s="103"/>
      <c r="P10" s="54" t="s">
        <v>618</v>
      </c>
      <c r="Q10" s="58"/>
      <c r="R10" s="58"/>
      <c r="T10" s="58"/>
      <c r="U10" s="60"/>
      <c r="V10" s="41"/>
      <c r="W10" s="81"/>
    </row>
    <row r="11" customHeight="1" spans="2:23">
      <c r="B11" s="123"/>
      <c r="C11" s="127" t="e">
        <f>VLOOKUP(B11,选手名单!A:I,2,0)</f>
        <v>#N/A</v>
      </c>
      <c r="D11" s="123" t="e">
        <f>VLOOKUP(B11,选手名单!A:I,6,0)</f>
        <v>#N/A</v>
      </c>
      <c r="E11" s="123" t="e">
        <f>VLOOKUP(B11,选手名单!A:I,3,0)</f>
        <v>#N/A</v>
      </c>
      <c r="F11" s="123" t="e">
        <f>VLOOKUP(B11,选手名单!A:I,5,0)</f>
        <v>#N/A</v>
      </c>
      <c r="G11" s="128" t="e">
        <f>VLOOKUP(B11,选手名单!A:I,7,0)</f>
        <v>#N/A</v>
      </c>
      <c r="H11" s="128"/>
      <c r="I11" s="101"/>
      <c r="J11" s="101"/>
      <c r="K11" s="71"/>
      <c r="L11" s="71"/>
      <c r="M11" s="103"/>
      <c r="N11" s="103"/>
      <c r="P11" s="41"/>
      <c r="Q11" s="59"/>
      <c r="R11" s="60"/>
      <c r="T11" s="58"/>
      <c r="U11" s="60"/>
      <c r="V11" s="63"/>
      <c r="W11" s="81"/>
    </row>
    <row r="12" customHeight="1" spans="2:23">
      <c r="B12" s="123"/>
      <c r="C12" s="127" t="e">
        <f>VLOOKUP(B12,选手名单!A:I,2,0)</f>
        <v>#N/A</v>
      </c>
      <c r="D12" s="123" t="e">
        <f>VLOOKUP(B12,选手名单!A:I,6,0)</f>
        <v>#N/A</v>
      </c>
      <c r="E12" s="123" t="e">
        <f>VLOOKUP(B12,选手名单!A:I,3,0)</f>
        <v>#N/A</v>
      </c>
      <c r="F12" s="123" t="e">
        <f>VLOOKUP(B12,选手名单!A:I,5,0)</f>
        <v>#N/A</v>
      </c>
      <c r="G12" s="128" t="e">
        <f>VLOOKUP(B12,选手名单!A:I,7,0)</f>
        <v>#N/A</v>
      </c>
      <c r="H12" s="128"/>
      <c r="I12" s="101"/>
      <c r="J12" s="101"/>
      <c r="K12" s="71"/>
      <c r="L12" s="71"/>
      <c r="M12" s="103"/>
      <c r="N12" s="103"/>
      <c r="P12" s="63" t="s">
        <v>738</v>
      </c>
      <c r="Q12" s="58"/>
      <c r="R12" s="60"/>
      <c r="S12" s="54" t="s">
        <v>83</v>
      </c>
      <c r="T12" s="58"/>
      <c r="U12" s="60"/>
      <c r="W12" s="81"/>
    </row>
    <row r="13" customHeight="1" spans="2:31">
      <c r="B13" s="123"/>
      <c r="C13" s="127" t="e">
        <f>VLOOKUP(B13,选手名单!A:I,2,0)</f>
        <v>#N/A</v>
      </c>
      <c r="D13" s="123" t="e">
        <f>VLOOKUP(B13,选手名单!A:I,6,0)</f>
        <v>#N/A</v>
      </c>
      <c r="E13" s="123" t="e">
        <f>VLOOKUP(B13,选手名单!A:I,3,0)</f>
        <v>#N/A</v>
      </c>
      <c r="F13" s="123" t="e">
        <f>VLOOKUP(B13,选手名单!A:I,5,0)</f>
        <v>#N/A</v>
      </c>
      <c r="G13" s="128" t="e">
        <f>VLOOKUP(B13,选手名单!A:I,7,0)</f>
        <v>#N/A</v>
      </c>
      <c r="H13" s="128"/>
      <c r="I13" s="101"/>
      <c r="J13" s="101"/>
      <c r="K13" s="71"/>
      <c r="L13" s="71"/>
      <c r="M13" s="103"/>
      <c r="N13" s="103"/>
      <c r="Q13" s="58"/>
      <c r="R13" s="62"/>
      <c r="S13" s="41"/>
      <c r="T13" s="59"/>
      <c r="U13" s="58"/>
      <c r="W13" s="81"/>
      <c r="AA13" s="75"/>
      <c r="AB13" s="75"/>
      <c r="AC13" s="75"/>
      <c r="AD13" s="75"/>
      <c r="AE13" s="75"/>
    </row>
    <row r="14" customHeight="1" spans="2:31">
      <c r="B14" s="123"/>
      <c r="C14" s="127" t="e">
        <f>VLOOKUP(B14,选手名单!A:I,2,0)</f>
        <v>#N/A</v>
      </c>
      <c r="D14" s="123" t="e">
        <f>VLOOKUP(B14,选手名单!A:I,6,0)</f>
        <v>#N/A</v>
      </c>
      <c r="E14" s="123" t="e">
        <f>VLOOKUP(B14,选手名单!A:I,3,0)</f>
        <v>#N/A</v>
      </c>
      <c r="F14" s="123" t="e">
        <f>VLOOKUP(B14,选手名单!A:I,5,0)</f>
        <v>#N/A</v>
      </c>
      <c r="G14" s="128" t="e">
        <f>VLOOKUP(B14,选手名单!A:I,7,0)</f>
        <v>#N/A</v>
      </c>
      <c r="H14" s="128"/>
      <c r="I14" s="101"/>
      <c r="J14" s="101"/>
      <c r="K14" s="71"/>
      <c r="L14" s="71"/>
      <c r="M14" s="103"/>
      <c r="N14" s="103"/>
      <c r="P14" s="91" t="s">
        <v>83</v>
      </c>
      <c r="Q14" s="58"/>
      <c r="R14" s="60"/>
      <c r="S14" s="1"/>
      <c r="T14" s="58"/>
      <c r="U14" s="58"/>
      <c r="W14" s="81"/>
      <c r="X14" s="60"/>
      <c r="Y14" s="139"/>
      <c r="AA14" s="75"/>
      <c r="AB14" s="75"/>
      <c r="AC14" s="75"/>
      <c r="AD14" s="75"/>
      <c r="AE14" s="75"/>
    </row>
    <row r="15" customHeight="1" spans="2:31">
      <c r="B15" s="123"/>
      <c r="C15" s="127" t="e">
        <f>VLOOKUP(B15,选手名单!A:I,2,0)</f>
        <v>#N/A</v>
      </c>
      <c r="D15" s="123" t="e">
        <f>VLOOKUP(B15,选手名单!A:I,6,0)</f>
        <v>#N/A</v>
      </c>
      <c r="E15" s="123" t="e">
        <f>VLOOKUP(B15,选手名单!A:I,3,0)</f>
        <v>#N/A</v>
      </c>
      <c r="F15" s="123" t="e">
        <f>VLOOKUP(B15,选手名单!A:I,5,0)</f>
        <v>#N/A</v>
      </c>
      <c r="G15" s="128" t="e">
        <f>VLOOKUP(B15,选手名单!A:I,7,0)</f>
        <v>#N/A</v>
      </c>
      <c r="H15" s="129"/>
      <c r="I15" s="101" t="s">
        <v>727</v>
      </c>
      <c r="J15" s="101"/>
      <c r="K15" s="71" t="s">
        <v>727</v>
      </c>
      <c r="L15" s="71">
        <f>SUM(L10:L14)</f>
        <v>0</v>
      </c>
      <c r="M15" s="102" t="s">
        <v>727</v>
      </c>
      <c r="N15" s="102">
        <f>SUM(N10:N14)</f>
        <v>0</v>
      </c>
      <c r="P15" s="41"/>
      <c r="Q15" s="59"/>
      <c r="R15" s="58"/>
      <c r="S15" s="1"/>
      <c r="T15" s="58"/>
      <c r="U15" s="58"/>
      <c r="W15" s="81"/>
      <c r="X15" s="60"/>
      <c r="Y15" s="41"/>
      <c r="AA15" s="75"/>
      <c r="AB15" s="75"/>
      <c r="AC15" s="75"/>
      <c r="AD15" s="75"/>
      <c r="AE15" s="75"/>
    </row>
    <row r="16" customHeight="1" spans="2:31">
      <c r="B16" s="123"/>
      <c r="C16" s="127" t="e">
        <f>VLOOKUP(B16,选手名单!A:I,2,0)</f>
        <v>#N/A</v>
      </c>
      <c r="D16" s="123" t="e">
        <f>VLOOKUP(B16,选手名单!A:I,6,0)</f>
        <v>#N/A</v>
      </c>
      <c r="E16" s="123" t="e">
        <f>VLOOKUP(B16,选手名单!A:I,3,0)</f>
        <v>#N/A</v>
      </c>
      <c r="F16" s="123" t="e">
        <f>VLOOKUP(B16,选手名单!A:I,5,0)</f>
        <v>#N/A</v>
      </c>
      <c r="G16" s="128" t="e">
        <f>VLOOKUP(B16,选手名单!A:I,7,0)</f>
        <v>#N/A</v>
      </c>
      <c r="H16" s="128"/>
      <c r="I16" s="99"/>
      <c r="J16" s="41"/>
      <c r="K16" s="67"/>
      <c r="L16" s="41"/>
      <c r="M16" s="68"/>
      <c r="N16" s="41"/>
      <c r="W16" s="81"/>
      <c r="X16" s="62"/>
      <c r="Y16" s="41"/>
      <c r="Z16" s="80"/>
      <c r="AA16" s="75"/>
      <c r="AB16" s="75"/>
      <c r="AC16" s="75"/>
      <c r="AD16" s="75"/>
      <c r="AE16" s="75"/>
    </row>
    <row r="17" customHeight="1" spans="2:31">
      <c r="B17" s="123"/>
      <c r="C17" s="127" t="e">
        <f>VLOOKUP(B17,选手名单!A:I,2,0)</f>
        <v>#N/A</v>
      </c>
      <c r="D17" s="123" t="e">
        <f>VLOOKUP(B17,选手名单!A:I,6,0)</f>
        <v>#N/A</v>
      </c>
      <c r="E17" s="123" t="e">
        <f>VLOOKUP(B17,选手名单!A:I,3,0)</f>
        <v>#N/A</v>
      </c>
      <c r="F17" s="123" t="e">
        <f>VLOOKUP(B17,选手名单!A:I,5,0)</f>
        <v>#N/A</v>
      </c>
      <c r="G17" s="128" t="e">
        <f>VLOOKUP(B17,选手名单!A:I,7,0)</f>
        <v>#N/A</v>
      </c>
      <c r="H17" s="128"/>
      <c r="I17" s="99"/>
      <c r="J17" s="99"/>
      <c r="K17" s="69"/>
      <c r="L17" s="69"/>
      <c r="M17" s="68"/>
      <c r="N17" s="68"/>
      <c r="P17" s="136" t="s">
        <v>626</v>
      </c>
      <c r="Q17" s="58"/>
      <c r="R17" s="58"/>
      <c r="S17" s="1"/>
      <c r="T17" s="58"/>
      <c r="U17" s="58"/>
      <c r="W17" s="81"/>
      <c r="X17" s="60"/>
      <c r="Y17" s="41"/>
      <c r="Z17" s="81"/>
      <c r="AA17" s="75"/>
      <c r="AB17" s="75"/>
      <c r="AC17" s="75"/>
      <c r="AD17" s="75"/>
      <c r="AE17" s="75"/>
    </row>
    <row r="18" customHeight="1" spans="2:26">
      <c r="B18" s="123"/>
      <c r="C18" s="127" t="e">
        <f>VLOOKUP(B18,选手名单!A:I,2,0)</f>
        <v>#N/A</v>
      </c>
      <c r="D18" s="123" t="e">
        <f>VLOOKUP(B18,选手名单!A:I,6,0)</f>
        <v>#N/A</v>
      </c>
      <c r="E18" s="123" t="e">
        <f>VLOOKUP(B18,选手名单!A:I,3,0)</f>
        <v>#N/A</v>
      </c>
      <c r="F18" s="123" t="e">
        <f>VLOOKUP(B18,选手名单!A:I,5,0)</f>
        <v>#N/A</v>
      </c>
      <c r="G18" s="128" t="e">
        <f>VLOOKUP(B18,选手名单!A:I,7,0)</f>
        <v>#N/A</v>
      </c>
      <c r="H18" s="128"/>
      <c r="I18" s="99"/>
      <c r="J18" s="99"/>
      <c r="K18" s="69"/>
      <c r="L18" s="69"/>
      <c r="M18" s="68"/>
      <c r="N18" s="68"/>
      <c r="P18" s="41"/>
      <c r="Q18" s="59"/>
      <c r="R18" s="60"/>
      <c r="S18" s="51"/>
      <c r="T18" s="58"/>
      <c r="U18" s="58"/>
      <c r="W18" s="81"/>
      <c r="Z18" s="81"/>
    </row>
    <row r="19" customHeight="1" spans="2:26">
      <c r="B19" s="123"/>
      <c r="C19" s="127" t="e">
        <f>VLOOKUP(B19,选手名单!A:I,2,0)</f>
        <v>#N/A</v>
      </c>
      <c r="D19" s="123" t="e">
        <f>VLOOKUP(B19,选手名单!A:I,6,0)</f>
        <v>#N/A</v>
      </c>
      <c r="E19" s="123" t="e">
        <f>VLOOKUP(B19,选手名单!A:I,3,0)</f>
        <v>#N/A</v>
      </c>
      <c r="F19" s="123" t="e">
        <f>VLOOKUP(B19,选手名单!A:I,5,0)</f>
        <v>#N/A</v>
      </c>
      <c r="G19" s="128" t="e">
        <f>VLOOKUP(B19,选手名单!A:I,7,0)</f>
        <v>#N/A</v>
      </c>
      <c r="H19" s="128"/>
      <c r="I19" s="99"/>
      <c r="J19" s="99"/>
      <c r="K19" s="69"/>
      <c r="L19" s="69"/>
      <c r="M19" s="68"/>
      <c r="N19" s="68"/>
      <c r="P19" s="63" t="s">
        <v>768</v>
      </c>
      <c r="Q19" s="58"/>
      <c r="R19" s="60"/>
      <c r="S19" s="136" t="s">
        <v>626</v>
      </c>
      <c r="T19" s="58"/>
      <c r="U19" s="58"/>
      <c r="W19" s="81"/>
      <c r="Z19" s="81"/>
    </row>
    <row r="20" customHeight="1" spans="2:26">
      <c r="B20" s="123"/>
      <c r="C20" s="127" t="e">
        <f>VLOOKUP(B20,选手名单!A:I,2,0)</f>
        <v>#N/A</v>
      </c>
      <c r="D20" s="123" t="e">
        <f>VLOOKUP(B20,选手名单!A:I,6,0)</f>
        <v>#N/A</v>
      </c>
      <c r="E20" s="123" t="e">
        <f>VLOOKUP(B20,选手名单!A:I,3,0)</f>
        <v>#N/A</v>
      </c>
      <c r="F20" s="123" t="e">
        <f>VLOOKUP(B20,选手名单!A:I,5,0)</f>
        <v>#N/A</v>
      </c>
      <c r="G20" s="128" t="e">
        <f>VLOOKUP(B20,选手名单!A:I,7,0)</f>
        <v>#N/A</v>
      </c>
      <c r="H20" s="129"/>
      <c r="I20" s="99"/>
      <c r="J20" s="99"/>
      <c r="K20" s="69"/>
      <c r="L20" s="69"/>
      <c r="M20" s="68"/>
      <c r="N20" s="68"/>
      <c r="Q20" s="58"/>
      <c r="R20" s="62"/>
      <c r="S20" s="41"/>
      <c r="T20" s="59"/>
      <c r="U20" s="60"/>
      <c r="W20" s="81"/>
      <c r="Z20" s="81"/>
    </row>
    <row r="21" customHeight="1" spans="2:26">
      <c r="B21" s="123"/>
      <c r="C21" s="127" t="e">
        <f>VLOOKUP(B21,选手名单!A:I,2,0)</f>
        <v>#N/A</v>
      </c>
      <c r="D21" s="123" t="e">
        <f>VLOOKUP(B21,选手名单!A:I,6,0)</f>
        <v>#N/A</v>
      </c>
      <c r="E21" s="123" t="e">
        <f>VLOOKUP(B21,选手名单!A:I,3,0)</f>
        <v>#N/A</v>
      </c>
      <c r="F21" s="123" t="e">
        <f>VLOOKUP(B21,选手名单!A:I,5,0)</f>
        <v>#N/A</v>
      </c>
      <c r="G21" s="128" t="e">
        <f>VLOOKUP(B21,选手名单!A:I,7,0)</f>
        <v>#N/A</v>
      </c>
      <c r="H21" s="128"/>
      <c r="I21" s="99"/>
      <c r="J21" s="99"/>
      <c r="K21" s="69"/>
      <c r="L21" s="69"/>
      <c r="M21" s="68"/>
      <c r="N21" s="68"/>
      <c r="P21" s="45" t="s">
        <v>138</v>
      </c>
      <c r="Q21" s="58"/>
      <c r="R21" s="60"/>
      <c r="S21" s="63" t="s">
        <v>749</v>
      </c>
      <c r="T21" s="58"/>
      <c r="U21" s="60"/>
      <c r="W21" s="81"/>
      <c r="Z21" s="81"/>
    </row>
    <row r="22" customHeight="1" spans="2:26">
      <c r="B22" s="123"/>
      <c r="C22" s="127" t="e">
        <f>VLOOKUP(B22,选手名单!A:I,2,0)</f>
        <v>#N/A</v>
      </c>
      <c r="D22" s="123" t="e">
        <f>VLOOKUP(B22,选手名单!A:I,6,0)</f>
        <v>#N/A</v>
      </c>
      <c r="E22" s="123" t="e">
        <f>VLOOKUP(B22,选手名单!A:I,3,0)</f>
        <v>#N/A</v>
      </c>
      <c r="F22" s="123" t="e">
        <f>VLOOKUP(B22,选手名单!A:I,5,0)</f>
        <v>#N/A</v>
      </c>
      <c r="G22" s="128" t="e">
        <f>VLOOKUP(B22,选手名单!A:I,7,0)</f>
        <v>#N/A</v>
      </c>
      <c r="H22" s="128"/>
      <c r="I22" s="99" t="s">
        <v>727</v>
      </c>
      <c r="J22" s="99">
        <f>SUM(J17:J21)</f>
        <v>0</v>
      </c>
      <c r="K22" s="67" t="s">
        <v>727</v>
      </c>
      <c r="L22" s="67">
        <f>SUM(L17:L21)</f>
        <v>0</v>
      </c>
      <c r="M22" s="68" t="s">
        <v>727</v>
      </c>
      <c r="N22" s="68">
        <f>SUM(N17:N20)</f>
        <v>0</v>
      </c>
      <c r="P22" s="41"/>
      <c r="Q22" s="59"/>
      <c r="R22" s="58"/>
      <c r="T22" s="58"/>
      <c r="U22" s="60"/>
      <c r="V22" s="147" t="s">
        <v>626</v>
      </c>
      <c r="W22" s="81"/>
      <c r="Z22" s="81"/>
    </row>
    <row r="23" customHeight="1" spans="2:26">
      <c r="B23" s="123"/>
      <c r="C23" s="127" t="e">
        <f>VLOOKUP(B23,选手名单!A:I,2,0)</f>
        <v>#N/A</v>
      </c>
      <c r="D23" s="123" t="e">
        <f>VLOOKUP(B23,选手名单!A:I,6,0)</f>
        <v>#N/A</v>
      </c>
      <c r="E23" s="123" t="e">
        <f>VLOOKUP(B23,选手名单!A:I,3,0)</f>
        <v>#N/A</v>
      </c>
      <c r="F23" s="123" t="e">
        <f>VLOOKUP(B23,选手名单!A:I,5,0)</f>
        <v>#N/A</v>
      </c>
      <c r="G23" s="128" t="e">
        <f>VLOOKUP(B23,选手名单!A:I,7,0)</f>
        <v>#N/A</v>
      </c>
      <c r="H23" s="128"/>
      <c r="I23" s="101"/>
      <c r="J23" s="101"/>
      <c r="K23" s="71"/>
      <c r="L23" s="41"/>
      <c r="M23" s="102"/>
      <c r="N23" s="41"/>
      <c r="P23" s="49"/>
      <c r="Q23" s="49"/>
      <c r="R23" s="49"/>
      <c r="T23" s="58"/>
      <c r="U23" s="60"/>
      <c r="V23" s="41"/>
      <c r="W23" s="83"/>
      <c r="Z23" s="81"/>
    </row>
    <row r="24" customHeight="1" spans="2:26">
      <c r="B24" s="123"/>
      <c r="C24" s="127" t="e">
        <f>VLOOKUP(B24,选手名单!A:I,2,0)</f>
        <v>#N/A</v>
      </c>
      <c r="D24" s="123" t="e">
        <f>VLOOKUP(B24,选手名单!A:I,6,0)</f>
        <v>#N/A</v>
      </c>
      <c r="E24" s="123" t="e">
        <f>VLOOKUP(B24,选手名单!A:I,3,0)</f>
        <v>#N/A</v>
      </c>
      <c r="F24" s="123" t="e">
        <f>VLOOKUP(B24,选手名单!A:I,5,0)</f>
        <v>#N/A</v>
      </c>
      <c r="G24" s="128" t="e">
        <f>VLOOKUP(B24,选手名单!A:I,7,0)</f>
        <v>#N/A</v>
      </c>
      <c r="H24" s="128"/>
      <c r="I24" s="101"/>
      <c r="J24" s="101"/>
      <c r="K24" s="71"/>
      <c r="L24" s="71"/>
      <c r="M24" s="103"/>
      <c r="N24" s="103"/>
      <c r="P24" s="51"/>
      <c r="Q24" s="58"/>
      <c r="R24" s="58"/>
      <c r="T24" s="58"/>
      <c r="U24" s="62"/>
      <c r="V24" s="41"/>
      <c r="Z24" s="81"/>
    </row>
    <row r="25" customHeight="1" spans="2:26">
      <c r="B25" s="123"/>
      <c r="C25" s="127" t="e">
        <f>VLOOKUP(B25,选手名单!A:I,2,0)</f>
        <v>#N/A</v>
      </c>
      <c r="D25" s="123" t="e">
        <f>VLOOKUP(B25,选手名单!A:I,6,0)</f>
        <v>#N/A</v>
      </c>
      <c r="E25" s="123" t="e">
        <f>VLOOKUP(B25,选手名单!A:I,3,0)</f>
        <v>#N/A</v>
      </c>
      <c r="F25" s="123" t="e">
        <f>VLOOKUP(B25,选手名单!A:I,5,0)</f>
        <v>#N/A</v>
      </c>
      <c r="G25" s="128" t="e">
        <f>VLOOKUP(B25,选手名单!A:I,7,0)</f>
        <v>#N/A</v>
      </c>
      <c r="H25" s="128"/>
      <c r="I25" s="101"/>
      <c r="J25" s="101"/>
      <c r="K25" s="71"/>
      <c r="L25" s="71"/>
      <c r="M25" s="103"/>
      <c r="N25" s="103"/>
      <c r="P25" s="137" t="s">
        <v>631</v>
      </c>
      <c r="Q25" s="58"/>
      <c r="R25" s="58"/>
      <c r="T25" s="58"/>
      <c r="U25" s="60"/>
      <c r="V25" s="41"/>
      <c r="Z25" s="81"/>
    </row>
    <row r="26" customHeight="1" spans="2:28">
      <c r="B26" s="123"/>
      <c r="C26" s="127" t="e">
        <f>VLOOKUP(B26,选手名单!A:I,2,0)</f>
        <v>#N/A</v>
      </c>
      <c r="D26" s="123" t="e">
        <f>VLOOKUP(B26,选手名单!A:I,6,0)</f>
        <v>#N/A</v>
      </c>
      <c r="E26" s="123" t="e">
        <f>VLOOKUP(B26,选手名单!A:I,3,0)</f>
        <v>#N/A</v>
      </c>
      <c r="F26" s="123" t="e">
        <f>VLOOKUP(B26,选手名单!A:I,5,0)</f>
        <v>#N/A</v>
      </c>
      <c r="G26" s="128" t="e">
        <f>VLOOKUP(B26,选手名单!A:I,7,0)</f>
        <v>#N/A</v>
      </c>
      <c r="H26" s="129"/>
      <c r="I26" s="101"/>
      <c r="J26" s="101"/>
      <c r="K26" s="71"/>
      <c r="L26" s="71"/>
      <c r="M26" s="103"/>
      <c r="N26" s="103"/>
      <c r="P26" s="41"/>
      <c r="Q26" s="59"/>
      <c r="R26" s="60"/>
      <c r="T26" s="58"/>
      <c r="U26" s="60"/>
      <c r="V26" s="58"/>
      <c r="Z26" s="81"/>
      <c r="AB26" s="151"/>
    </row>
    <row r="27" customHeight="1" spans="2:28">
      <c r="B27" s="123"/>
      <c r="C27" s="127" t="e">
        <f>VLOOKUP(B27,选手名单!A:I,2,0)</f>
        <v>#N/A</v>
      </c>
      <c r="D27" s="123" t="e">
        <f>VLOOKUP(B27,选手名单!A:I,6,0)</f>
        <v>#N/A</v>
      </c>
      <c r="E27" s="123" t="e">
        <f>VLOOKUP(B27,选手名单!A:I,3,0)</f>
        <v>#N/A</v>
      </c>
      <c r="F27" s="123" t="e">
        <f>VLOOKUP(B27,选手名单!A:I,5,0)</f>
        <v>#N/A</v>
      </c>
      <c r="G27" s="128" t="e">
        <f>VLOOKUP(B27,选手名单!A:I,7,0)</f>
        <v>#N/A</v>
      </c>
      <c r="H27" s="128"/>
      <c r="I27" s="101"/>
      <c r="J27" s="101"/>
      <c r="K27" s="71"/>
      <c r="L27" s="71"/>
      <c r="M27" s="103"/>
      <c r="N27" s="103"/>
      <c r="P27" s="63" t="s">
        <v>769</v>
      </c>
      <c r="Q27" s="58"/>
      <c r="R27" s="60"/>
      <c r="S27" s="137" t="s">
        <v>101</v>
      </c>
      <c r="T27" s="58"/>
      <c r="U27" s="60"/>
      <c r="V27" s="58"/>
      <c r="Z27" s="81"/>
      <c r="AB27" s="105"/>
    </row>
    <row r="28" customHeight="1" spans="2:28">
      <c r="B28" s="123"/>
      <c r="C28" s="127" t="e">
        <f>VLOOKUP(B28,选手名单!A:I,2,0)</f>
        <v>#N/A</v>
      </c>
      <c r="D28" s="123" t="e">
        <f>VLOOKUP(B28,选手名单!A:I,6,0)</f>
        <v>#N/A</v>
      </c>
      <c r="E28" s="123" t="e">
        <f>VLOOKUP(B28,选手名单!A:I,3,0)</f>
        <v>#N/A</v>
      </c>
      <c r="F28" s="123" t="e">
        <f>VLOOKUP(B28,选手名单!A:I,5,0)</f>
        <v>#N/A</v>
      </c>
      <c r="G28" s="128" t="e">
        <f>VLOOKUP(B28,选手名单!A:I,7,0)</f>
        <v>#N/A</v>
      </c>
      <c r="H28" s="128"/>
      <c r="I28" s="101"/>
      <c r="J28" s="101"/>
      <c r="K28" s="71"/>
      <c r="L28" s="71"/>
      <c r="M28" s="103"/>
      <c r="N28" s="103"/>
      <c r="Q28" s="58"/>
      <c r="R28" s="62"/>
      <c r="S28" s="41"/>
      <c r="T28" s="59"/>
      <c r="U28" s="58"/>
      <c r="V28" s="58"/>
      <c r="Z28" s="81"/>
      <c r="AA28" s="34" t="s">
        <v>745</v>
      </c>
      <c r="AB28" s="105"/>
    </row>
    <row r="29" customHeight="1" spans="2:28">
      <c r="B29" s="123"/>
      <c r="C29" s="127" t="e">
        <f>VLOOKUP(B29,选手名单!A:I,2,0)</f>
        <v>#N/A</v>
      </c>
      <c r="D29" s="123" t="e">
        <f>VLOOKUP(B29,选手名单!A:I,6,0)</f>
        <v>#N/A</v>
      </c>
      <c r="E29" s="123" t="e">
        <f>VLOOKUP(B29,选手名单!A:I,3,0)</f>
        <v>#N/A</v>
      </c>
      <c r="F29" s="123" t="e">
        <f>VLOOKUP(B29,选手名单!A:I,5,0)</f>
        <v>#N/A</v>
      </c>
      <c r="G29" s="128" t="e">
        <f>VLOOKUP(B29,选手名单!A:I,7,0)</f>
        <v>#N/A</v>
      </c>
      <c r="H29" s="128"/>
      <c r="I29" s="101" t="s">
        <v>727</v>
      </c>
      <c r="J29" s="101"/>
      <c r="K29" s="71" t="s">
        <v>727</v>
      </c>
      <c r="L29" s="71">
        <f>SUM(L24:L28)</f>
        <v>0</v>
      </c>
      <c r="M29" s="102" t="s">
        <v>727</v>
      </c>
      <c r="N29" s="102">
        <f>SUM(N24:N28)</f>
        <v>0</v>
      </c>
      <c r="P29" s="55" t="s">
        <v>101</v>
      </c>
      <c r="Q29" s="58"/>
      <c r="R29" s="60"/>
      <c r="S29" s="1"/>
      <c r="T29" s="58"/>
      <c r="U29" s="58"/>
      <c r="V29" s="58"/>
      <c r="Z29" s="81"/>
      <c r="AB29" s="105"/>
    </row>
    <row r="30" customHeight="1" spans="2:28">
      <c r="B30" s="123"/>
      <c r="C30" s="127" t="e">
        <f>VLOOKUP(B30,选手名单!A:I,2,0)</f>
        <v>#N/A</v>
      </c>
      <c r="D30" s="123" t="e">
        <f>VLOOKUP(B30,选手名单!A:I,6,0)</f>
        <v>#N/A</v>
      </c>
      <c r="E30" s="123" t="e">
        <f>VLOOKUP(B30,选手名单!A:I,3,0)</f>
        <v>#N/A</v>
      </c>
      <c r="F30" s="123" t="e">
        <f>VLOOKUP(B30,选手名单!A:I,5,0)</f>
        <v>#N/A</v>
      </c>
      <c r="G30" s="128" t="e">
        <f>VLOOKUP(B30,选手名单!A:I,7,0)</f>
        <v>#N/A</v>
      </c>
      <c r="H30" s="128"/>
      <c r="P30" s="41"/>
      <c r="Q30" s="59"/>
      <c r="R30" s="58"/>
      <c r="S30" s="1"/>
      <c r="T30" s="58"/>
      <c r="U30" s="58"/>
      <c r="V30" s="58"/>
      <c r="Z30" s="81"/>
      <c r="AB30" s="106"/>
    </row>
    <row r="31" customHeight="1" spans="2:26">
      <c r="B31" s="123"/>
      <c r="C31" s="127" t="e">
        <f>VLOOKUP(B31,选手名单!A:I,2,0)</f>
        <v>#N/A</v>
      </c>
      <c r="D31" s="123" t="e">
        <f>VLOOKUP(B31,选手名单!A:I,6,0)</f>
        <v>#N/A</v>
      </c>
      <c r="E31" s="123" t="e">
        <f>VLOOKUP(B31,选手名单!A:I,3,0)</f>
        <v>#N/A</v>
      </c>
      <c r="F31" s="123" t="e">
        <f>VLOOKUP(B31,选手名单!A:I,5,0)</f>
        <v>#N/A</v>
      </c>
      <c r="G31" s="128" t="e">
        <f>VLOOKUP(B31,选手名单!A:I,7,0)</f>
        <v>#N/A</v>
      </c>
      <c r="H31" s="128"/>
      <c r="V31" s="58"/>
      <c r="Z31" s="81"/>
    </row>
    <row r="32" customHeight="1" spans="2:26">
      <c r="B32" s="123"/>
      <c r="C32" s="127" t="e">
        <f>VLOOKUP(B32,选手名单!A:I,2,0)</f>
        <v>#N/A</v>
      </c>
      <c r="D32" s="123" t="e">
        <f>VLOOKUP(B32,选手名单!A:I,6,0)</f>
        <v>#N/A</v>
      </c>
      <c r="E32" s="123" t="e">
        <f>VLOOKUP(B32,选手名单!A:I,3,0)</f>
        <v>#N/A</v>
      </c>
      <c r="F32" s="123" t="e">
        <f>VLOOKUP(B32,选手名单!A:I,5,0)</f>
        <v>#N/A</v>
      </c>
      <c r="G32" s="128" t="e">
        <f>VLOOKUP(B32,选手名单!A:I,7,0)</f>
        <v>#N/A</v>
      </c>
      <c r="H32" s="128"/>
      <c r="P32" s="144" t="s">
        <v>80</v>
      </c>
      <c r="Q32" s="58"/>
      <c r="R32" s="58"/>
      <c r="S32" s="1"/>
      <c r="T32" s="58"/>
      <c r="U32" s="58"/>
      <c r="V32" s="58"/>
      <c r="Z32" s="81"/>
    </row>
    <row r="33" customHeight="1" spans="2:26">
      <c r="B33" s="123"/>
      <c r="C33" s="127" t="e">
        <f>VLOOKUP(B33,选手名单!A:I,2,0)</f>
        <v>#N/A</v>
      </c>
      <c r="D33" s="123" t="e">
        <f>VLOOKUP(B33,选手名单!A:I,6,0)</f>
        <v>#N/A</v>
      </c>
      <c r="E33" s="123" t="e">
        <f>VLOOKUP(B33,选手名单!A:I,3,0)</f>
        <v>#N/A</v>
      </c>
      <c r="F33" s="123" t="e">
        <f>VLOOKUP(B33,选手名单!A:I,5,0)</f>
        <v>#N/A</v>
      </c>
      <c r="G33" s="128" t="e">
        <f>VLOOKUP(B33,选手名单!A:I,7,0)</f>
        <v>#N/A</v>
      </c>
      <c r="H33" s="129"/>
      <c r="P33" s="41"/>
      <c r="Q33" s="59"/>
      <c r="R33" s="60"/>
      <c r="S33" s="51"/>
      <c r="T33" s="58"/>
      <c r="U33" s="58"/>
      <c r="Z33" s="81"/>
    </row>
    <row r="34" customHeight="1" spans="2:26">
      <c r="B34" s="123"/>
      <c r="C34" s="127" t="e">
        <f>VLOOKUP(B34,选手名单!A:I,2,0)</f>
        <v>#N/A</v>
      </c>
      <c r="D34" s="123" t="e">
        <f>VLOOKUP(B34,选手名单!A:I,6,0)</f>
        <v>#N/A</v>
      </c>
      <c r="E34" s="123" t="e">
        <f>VLOOKUP(B34,选手名单!A:I,3,0)</f>
        <v>#N/A</v>
      </c>
      <c r="F34" s="123" t="e">
        <f>VLOOKUP(B34,选手名单!A:I,5,0)</f>
        <v>#N/A</v>
      </c>
      <c r="G34" s="128" t="e">
        <f>VLOOKUP(B34,选手名单!A:I,7,0)</f>
        <v>#N/A</v>
      </c>
      <c r="H34" s="128"/>
      <c r="P34" s="63" t="s">
        <v>768</v>
      </c>
      <c r="Q34" s="58"/>
      <c r="R34" s="60"/>
      <c r="S34" s="144" t="s">
        <v>80</v>
      </c>
      <c r="T34" s="58"/>
      <c r="U34" s="58"/>
      <c r="Z34" s="81"/>
    </row>
    <row r="35" customHeight="1" spans="2:26">
      <c r="B35" s="123"/>
      <c r="C35" s="127" t="e">
        <f>VLOOKUP(B35,选手名单!A:I,2,0)</f>
        <v>#N/A</v>
      </c>
      <c r="D35" s="123" t="e">
        <f>VLOOKUP(B35,选手名单!A:I,6,0)</f>
        <v>#N/A</v>
      </c>
      <c r="E35" s="123" t="e">
        <f>VLOOKUP(B35,选手名单!A:I,3,0)</f>
        <v>#N/A</v>
      </c>
      <c r="F35" s="123" t="e">
        <f>VLOOKUP(B35,选手名单!A:I,5,0)</f>
        <v>#N/A</v>
      </c>
      <c r="G35" s="128" t="e">
        <f>VLOOKUP(B35,选手名单!A:I,7,0)</f>
        <v>#N/A</v>
      </c>
      <c r="H35" s="128"/>
      <c r="Q35" s="58"/>
      <c r="R35" s="62"/>
      <c r="S35" s="41"/>
      <c r="T35" s="59"/>
      <c r="U35" s="60"/>
      <c r="Z35" s="81"/>
    </row>
    <row r="36" customHeight="1" spans="2:26">
      <c r="B36" s="123"/>
      <c r="C36" s="127" t="e">
        <f>VLOOKUP(B36,选手名单!A:I,2,0)</f>
        <v>#N/A</v>
      </c>
      <c r="D36" s="123" t="e">
        <f>VLOOKUP(B36,选手名单!A:I,6,0)</f>
        <v>#N/A</v>
      </c>
      <c r="E36" s="123" t="e">
        <f>VLOOKUP(B36,选手名单!A:I,3,0)</f>
        <v>#N/A</v>
      </c>
      <c r="F36" s="123" t="e">
        <f>VLOOKUP(B36,选手名单!A:I,5,0)</f>
        <v>#N/A</v>
      </c>
      <c r="G36" s="128" t="e">
        <f>VLOOKUP(B36,选手名单!A:I,7,0)</f>
        <v>#N/A</v>
      </c>
      <c r="H36" s="129"/>
      <c r="P36" s="142" t="s">
        <v>616</v>
      </c>
      <c r="Q36" s="58"/>
      <c r="R36" s="60"/>
      <c r="S36" s="63" t="s">
        <v>749</v>
      </c>
      <c r="T36" s="58"/>
      <c r="U36" s="60"/>
      <c r="Z36" s="81"/>
    </row>
    <row r="37" customHeight="1" spans="2:26">
      <c r="B37" s="123"/>
      <c r="C37" s="127" t="e">
        <f>VLOOKUP(B37,选手名单!A:I,2,0)</f>
        <v>#N/A</v>
      </c>
      <c r="D37" s="123" t="e">
        <f>VLOOKUP(B37,选手名单!A:I,6,0)</f>
        <v>#N/A</v>
      </c>
      <c r="E37" s="123" t="e">
        <f>VLOOKUP(B37,选手名单!A:I,3,0)</f>
        <v>#N/A</v>
      </c>
      <c r="F37" s="123" t="e">
        <f>VLOOKUP(B37,选手名单!A:I,5,0)</f>
        <v>#N/A</v>
      </c>
      <c r="G37" s="128" t="e">
        <f>VLOOKUP(B37,选手名单!A:I,7,0)</f>
        <v>#N/A</v>
      </c>
      <c r="H37" s="129"/>
      <c r="P37" s="41"/>
      <c r="Q37" s="59"/>
      <c r="R37" s="58"/>
      <c r="T37" s="58"/>
      <c r="U37" s="60"/>
      <c r="V37" s="148" t="s">
        <v>276</v>
      </c>
      <c r="Z37" s="81"/>
    </row>
    <row r="38" customHeight="1" spans="2:26">
      <c r="B38" s="123"/>
      <c r="C38" s="127" t="e">
        <f>VLOOKUP(B38,选手名单!A:I,2,0)</f>
        <v>#N/A</v>
      </c>
      <c r="D38" s="123" t="e">
        <f>VLOOKUP(B38,选手名单!A:I,6,0)</f>
        <v>#N/A</v>
      </c>
      <c r="E38" s="123" t="e">
        <f>VLOOKUP(B38,选手名单!A:I,3,0)</f>
        <v>#N/A</v>
      </c>
      <c r="F38" s="123" t="e">
        <f>VLOOKUP(B38,选手名单!A:I,5,0)</f>
        <v>#N/A</v>
      </c>
      <c r="G38" s="128" t="e">
        <f>VLOOKUP(B38,选手名单!A:I,7,0)</f>
        <v>#N/A</v>
      </c>
      <c r="H38" s="128"/>
      <c r="P38" s="49"/>
      <c r="Q38" s="49"/>
      <c r="R38" s="49"/>
      <c r="T38" s="58"/>
      <c r="U38" s="60"/>
      <c r="V38" s="41"/>
      <c r="Z38" s="81"/>
    </row>
    <row r="39" customHeight="1" spans="2:26">
      <c r="B39" s="123"/>
      <c r="C39" s="127" t="e">
        <f>VLOOKUP(B39,选手名单!A:I,2,0)</f>
        <v>#N/A</v>
      </c>
      <c r="D39" s="123" t="e">
        <f>VLOOKUP(B39,选手名单!A:I,6,0)</f>
        <v>#N/A</v>
      </c>
      <c r="E39" s="123" t="e">
        <f>VLOOKUP(B39,选手名单!A:I,3,0)</f>
        <v>#N/A</v>
      </c>
      <c r="F39" s="123" t="e">
        <f>VLOOKUP(B39,选手名单!A:I,5,0)</f>
        <v>#N/A</v>
      </c>
      <c r="G39" s="128" t="e">
        <f>VLOOKUP(B39,选手名单!A:I,7,0)</f>
        <v>#N/A</v>
      </c>
      <c r="H39" s="128"/>
      <c r="P39" s="51"/>
      <c r="Q39" s="58"/>
      <c r="R39" s="58"/>
      <c r="T39" s="58"/>
      <c r="U39" s="62"/>
      <c r="V39" s="41"/>
      <c r="W39" s="80"/>
      <c r="Z39" s="81"/>
    </row>
    <row r="40" customHeight="1" spans="2:26">
      <c r="B40" s="123"/>
      <c r="C40" s="127" t="e">
        <f>VLOOKUP(B40,选手名单!A:I,2,0)</f>
        <v>#N/A</v>
      </c>
      <c r="D40" s="123" t="e">
        <f>VLOOKUP(B40,选手名单!A:I,6,0)</f>
        <v>#N/A</v>
      </c>
      <c r="E40" s="123" t="e">
        <f>VLOOKUP(B40,选手名单!A:I,3,0)</f>
        <v>#N/A</v>
      </c>
      <c r="F40" s="123" t="e">
        <f>VLOOKUP(B40,选手名单!A:I,5,0)</f>
        <v>#N/A</v>
      </c>
      <c r="G40" s="128" t="e">
        <f>VLOOKUP(B40,选手名单!A:I,7,0)</f>
        <v>#N/A</v>
      </c>
      <c r="H40" s="128"/>
      <c r="P40" s="145" t="s">
        <v>647</v>
      </c>
      <c r="Q40" s="58"/>
      <c r="R40" s="58"/>
      <c r="T40" s="58"/>
      <c r="U40" s="60"/>
      <c r="V40" s="41"/>
      <c r="W40" s="81"/>
      <c r="Z40" s="81"/>
    </row>
    <row r="41" customHeight="1" spans="2:26">
      <c r="B41" s="123"/>
      <c r="C41" s="127" t="e">
        <f>VLOOKUP(B41,选手名单!A:I,2,0)</f>
        <v>#N/A</v>
      </c>
      <c r="D41" s="123" t="e">
        <f>VLOOKUP(B41,选手名单!A:I,6,0)</f>
        <v>#N/A</v>
      </c>
      <c r="E41" s="123" t="e">
        <f>VLOOKUP(B41,选手名单!A:I,3,0)</f>
        <v>#N/A</v>
      </c>
      <c r="F41" s="123" t="e">
        <f>VLOOKUP(B41,选手名单!A:I,5,0)</f>
        <v>#N/A</v>
      </c>
      <c r="G41" s="128" t="e">
        <f>VLOOKUP(B41,选手名单!A:I,7,0)</f>
        <v>#N/A</v>
      </c>
      <c r="H41" s="128"/>
      <c r="P41" s="41"/>
      <c r="Q41" s="59"/>
      <c r="R41" s="60"/>
      <c r="T41" s="58"/>
      <c r="U41" s="60"/>
      <c r="W41" s="81"/>
      <c r="Z41" s="81"/>
    </row>
    <row r="42" customHeight="1" spans="16:26">
      <c r="P42" s="63" t="s">
        <v>769</v>
      </c>
      <c r="Q42" s="58"/>
      <c r="R42" s="60"/>
      <c r="S42" s="145" t="s">
        <v>276</v>
      </c>
      <c r="T42" s="58"/>
      <c r="U42" s="60"/>
      <c r="W42" s="81"/>
      <c r="X42" s="60"/>
      <c r="Y42" s="139"/>
      <c r="Z42" s="81"/>
    </row>
    <row r="43" customHeight="1" spans="17:26">
      <c r="Q43" s="58"/>
      <c r="R43" s="62"/>
      <c r="S43" s="41"/>
      <c r="T43" s="59"/>
      <c r="U43" s="58"/>
      <c r="W43" s="81"/>
      <c r="X43" s="60"/>
      <c r="Y43" s="41"/>
      <c r="Z43" s="81"/>
    </row>
    <row r="44" customHeight="1" spans="16:26">
      <c r="P44" s="146" t="s">
        <v>276</v>
      </c>
      <c r="Q44" s="58"/>
      <c r="R44" s="60"/>
      <c r="S44" s="1"/>
      <c r="T44" s="58"/>
      <c r="U44" s="58"/>
      <c r="W44" s="81"/>
      <c r="X44" s="62"/>
      <c r="Y44" s="41"/>
      <c r="Z44" s="83"/>
    </row>
    <row r="45" customHeight="1" spans="16:25">
      <c r="P45" s="41"/>
      <c r="Q45" s="59"/>
      <c r="R45" s="58"/>
      <c r="S45" s="1"/>
      <c r="T45" s="58"/>
      <c r="U45" s="58"/>
      <c r="W45" s="81"/>
      <c r="X45" s="60"/>
      <c r="Y45" s="41"/>
    </row>
    <row r="46" customHeight="1" spans="23:23">
      <c r="W46" s="81"/>
    </row>
    <row r="47" customHeight="1" spans="23:23">
      <c r="W47" s="81"/>
    </row>
    <row r="48" customHeight="1" spans="19:23">
      <c r="S48" s="54" t="s">
        <v>83</v>
      </c>
      <c r="W48" s="81"/>
    </row>
    <row r="49" customHeight="1" spans="19:23">
      <c r="S49" s="41"/>
      <c r="T49" s="59"/>
      <c r="U49" s="60"/>
      <c r="V49" s="3" t="s">
        <v>770</v>
      </c>
      <c r="W49" s="81"/>
    </row>
    <row r="50" customHeight="1" spans="20:23">
      <c r="T50" s="58"/>
      <c r="U50" s="60"/>
      <c r="V50" s="149" t="s">
        <v>83</v>
      </c>
      <c r="W50" s="81"/>
    </row>
    <row r="51" customHeight="1" spans="19:23">
      <c r="S51" s="137" t="s">
        <v>101</v>
      </c>
      <c r="T51" s="58"/>
      <c r="U51" s="60"/>
      <c r="V51" s="41"/>
      <c r="W51" s="150"/>
    </row>
    <row r="52" customHeight="1" spans="19:23">
      <c r="S52" s="41"/>
      <c r="T52" s="59"/>
      <c r="U52" s="62"/>
      <c r="V52" s="41"/>
      <c r="W52" s="59"/>
    </row>
    <row r="53" customHeight="1" spans="20:22">
      <c r="T53" s="58"/>
      <c r="U53" s="60"/>
      <c r="V53" s="41"/>
    </row>
    <row r="54" customHeight="1" spans="19:21">
      <c r="S54" s="144" t="s">
        <v>80</v>
      </c>
      <c r="T54" s="58"/>
      <c r="U54" s="60"/>
    </row>
    <row r="55" customHeight="1" spans="19:20">
      <c r="S55" s="41"/>
      <c r="T55" s="59"/>
    </row>
  </sheetData>
  <mergeCells count="48">
    <mergeCell ref="I2:J2"/>
    <mergeCell ref="K2:L2"/>
    <mergeCell ref="M2:N2"/>
    <mergeCell ref="K9:L9"/>
    <mergeCell ref="M9:N9"/>
    <mergeCell ref="I16:J16"/>
    <mergeCell ref="K16:L16"/>
    <mergeCell ref="M16:N16"/>
    <mergeCell ref="K23:L23"/>
    <mergeCell ref="M23:N23"/>
    <mergeCell ref="P2:P3"/>
    <mergeCell ref="P4:P5"/>
    <mergeCell ref="P6:P7"/>
    <mergeCell ref="P10:P11"/>
    <mergeCell ref="P12:P13"/>
    <mergeCell ref="P14:P15"/>
    <mergeCell ref="P17:P18"/>
    <mergeCell ref="P19:P20"/>
    <mergeCell ref="P21:P22"/>
    <mergeCell ref="P25:P26"/>
    <mergeCell ref="P27:P28"/>
    <mergeCell ref="P29:P30"/>
    <mergeCell ref="P32:P33"/>
    <mergeCell ref="P34:P35"/>
    <mergeCell ref="P36:P37"/>
    <mergeCell ref="P40:P41"/>
    <mergeCell ref="P42:P43"/>
    <mergeCell ref="P44:P45"/>
    <mergeCell ref="S4:S5"/>
    <mergeCell ref="S6:S11"/>
    <mergeCell ref="S12:S13"/>
    <mergeCell ref="S19:S20"/>
    <mergeCell ref="S21:S26"/>
    <mergeCell ref="S27:S28"/>
    <mergeCell ref="S34:S35"/>
    <mergeCell ref="S36:S41"/>
    <mergeCell ref="S42:S43"/>
    <mergeCell ref="S48:S49"/>
    <mergeCell ref="S51:S52"/>
    <mergeCell ref="S54:S55"/>
    <mergeCell ref="V7:V10"/>
    <mergeCell ref="V11:V21"/>
    <mergeCell ref="V22:V25"/>
    <mergeCell ref="V37:V40"/>
    <mergeCell ref="V50:V53"/>
    <mergeCell ref="Y14:Y17"/>
    <mergeCell ref="Y42:Y45"/>
    <mergeCell ref="AB26:AB30"/>
  </mergeCells>
  <conditionalFormatting sqref="D1:D1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.13内战"/>
  <dimension ref="A1:AF45"/>
  <sheetViews>
    <sheetView workbookViewId="0">
      <selection activeCell="A1" sqref="A1"/>
    </sheetView>
  </sheetViews>
  <sheetFormatPr defaultColWidth="14" defaultRowHeight="18" customHeight="1"/>
  <cols>
    <col min="1" max="1" width="13.671875" style="130"/>
    <col min="2" max="2" width="13.671875" style="119"/>
    <col min="3" max="3" width="13.671875" style="34"/>
    <col min="4" max="4" width="9.4453125" customWidth="1"/>
    <col min="8" max="8" width="5.390625" customWidth="1"/>
    <col min="11" max="12" width="8.359375" customWidth="1"/>
    <col min="15" max="16" width="8.359375" customWidth="1"/>
    <col min="17" max="20" width="3.5078125" customWidth="1"/>
    <col min="22" max="23" width="3.234375" customWidth="1"/>
    <col min="25" max="26" width="3.234375" customWidth="1"/>
    <col min="28" max="29" width="3.234375" customWidth="1"/>
    <col min="32" max="32" width="13.671875" style="34"/>
  </cols>
  <sheetData>
    <row r="1" customHeight="1" spans="1:11">
      <c r="A1" s="131"/>
      <c r="B1" s="121" t="s">
        <v>720</v>
      </c>
      <c r="C1" s="121" t="s">
        <v>270</v>
      </c>
      <c r="D1" s="84" t="s">
        <v>721</v>
      </c>
      <c r="E1" s="84" t="s">
        <v>271</v>
      </c>
      <c r="F1" s="84" t="s">
        <v>722</v>
      </c>
      <c r="G1" s="84" t="s">
        <v>226</v>
      </c>
      <c r="H1" s="84" t="s">
        <v>723</v>
      </c>
      <c r="I1" s="135" t="s">
        <v>771</v>
      </c>
      <c r="K1" t="s">
        <v>772</v>
      </c>
    </row>
    <row r="2" customHeight="1" spans="2:27">
      <c r="B2" s="123">
        <v>2</v>
      </c>
      <c r="C2" s="132" t="str">
        <f>VLOOKUP(B2,选手名单!A:I,2,0)</f>
        <v>一颗大白菜</v>
      </c>
      <c r="D2" s="123">
        <f>VLOOKUP(B2,选手名单!A:I,6,0)</f>
        <v>75</v>
      </c>
      <c r="E2" s="123">
        <f>VLOOKUP(B2,选手名单!A:I,3,0)</f>
        <v>186753076</v>
      </c>
      <c r="F2" s="123">
        <f>VLOOKUP(B2,选手名单!A:I,5,0)</f>
        <v>7500</v>
      </c>
      <c r="G2" s="128" t="str">
        <f>VLOOKUP(B2,选手名单!A:I,7,0)</f>
        <v>一,二,三</v>
      </c>
      <c r="H2" s="128"/>
      <c r="I2" s="99" t="s">
        <v>228</v>
      </c>
      <c r="J2" s="41"/>
      <c r="K2" s="99" t="s">
        <v>773</v>
      </c>
      <c r="L2" s="41"/>
      <c r="M2" s="67" t="s">
        <v>774</v>
      </c>
      <c r="N2" s="41"/>
      <c r="O2" s="67" t="s">
        <v>773</v>
      </c>
      <c r="P2" s="41"/>
      <c r="U2" s="86" t="s">
        <v>228</v>
      </c>
      <c r="V2" s="58"/>
      <c r="W2" s="58"/>
      <c r="X2" s="1"/>
      <c r="Y2" s="58"/>
      <c r="Z2" s="58"/>
      <c r="AA2" s="58"/>
    </row>
    <row r="3" customHeight="1" spans="2:27">
      <c r="B3" s="123">
        <v>3</v>
      </c>
      <c r="C3" s="133" t="s">
        <v>618</v>
      </c>
      <c r="D3" s="123">
        <f>VLOOKUP(B3,选手名单!A:I,6,0)</f>
        <v>63</v>
      </c>
      <c r="E3" s="123">
        <f>VLOOKUP(B3,选手名单!A:I,3,0)</f>
        <v>104465635</v>
      </c>
      <c r="F3" s="123">
        <f>VLOOKUP(B3,选手名单!A:I,5,0)</f>
        <v>6000</v>
      </c>
      <c r="G3" s="128" t="str">
        <f>VLOOKUP(B3,选手名单!A:I,7,0)</f>
        <v>一,二</v>
      </c>
      <c r="H3" s="129"/>
      <c r="I3" s="99" t="s">
        <v>83</v>
      </c>
      <c r="J3" s="99">
        <v>0</v>
      </c>
      <c r="K3" s="99">
        <f>340-J4-J5-J6-J7</f>
        <v>0</v>
      </c>
      <c r="L3" s="41"/>
      <c r="M3" s="69" t="s">
        <v>611</v>
      </c>
      <c r="N3" s="69">
        <v>0</v>
      </c>
      <c r="O3" s="67">
        <f>350-N4-N5-N6-N7</f>
        <v>0</v>
      </c>
      <c r="P3" s="41"/>
      <c r="U3" s="41"/>
      <c r="V3" s="59"/>
      <c r="W3" s="60"/>
      <c r="X3" s="51"/>
      <c r="Y3" s="58"/>
      <c r="Z3" s="58"/>
      <c r="AA3" s="58"/>
    </row>
    <row r="4" customHeight="1" spans="2:27">
      <c r="B4" s="123">
        <v>6</v>
      </c>
      <c r="C4" s="133" t="str">
        <f>VLOOKUP(B4,选手名单!A:I,2,0)</f>
        <v>jose</v>
      </c>
      <c r="D4" s="123">
        <f>VLOOKUP(B4,选手名单!A:I,6,0)</f>
        <v>59</v>
      </c>
      <c r="E4" s="123">
        <f>VLOOKUP(B4,选手名单!A:I,3,0)</f>
        <v>1255409177</v>
      </c>
      <c r="F4" s="123">
        <f>VLOOKUP(B4,选手名单!A:I,5,0)</f>
        <v>6200</v>
      </c>
      <c r="G4" s="128" t="str">
        <f>VLOOKUP(B4,选手名单!A:I,7,0)</f>
        <v>三</v>
      </c>
      <c r="H4" s="129"/>
      <c r="I4" s="99" t="s">
        <v>107</v>
      </c>
      <c r="J4" s="99">
        <v>135</v>
      </c>
      <c r="K4" s="99"/>
      <c r="M4" s="69" t="s">
        <v>619</v>
      </c>
      <c r="N4" s="69">
        <v>175</v>
      </c>
      <c r="O4" s="69"/>
      <c r="U4" s="63" t="s">
        <v>735</v>
      </c>
      <c r="V4" s="58"/>
      <c r="W4" s="60"/>
      <c r="X4" s="86" t="s">
        <v>87</v>
      </c>
      <c r="Y4" s="58"/>
      <c r="Z4" s="58"/>
      <c r="AA4" s="58"/>
    </row>
    <row r="5" customHeight="1" spans="2:27">
      <c r="B5" s="123">
        <v>1</v>
      </c>
      <c r="C5" s="133" t="str">
        <f>VLOOKUP(B5,选手名单!A:I,2,0)</f>
        <v>笑败</v>
      </c>
      <c r="D5" s="123">
        <f>VLOOKUP(B5,选手名单!A:I,6,0)</f>
        <v>84</v>
      </c>
      <c r="E5" s="123">
        <f>VLOOKUP(B5,选手名单!A:I,3,0)</f>
        <v>106964785</v>
      </c>
      <c r="F5" s="123">
        <f>VLOOKUP(B5,选手名单!A:I,5,0)</f>
        <v>8330</v>
      </c>
      <c r="G5" s="128" t="str">
        <f>VLOOKUP(B5,选手名单!A:I,7,0)</f>
        <v>一</v>
      </c>
      <c r="H5" s="128"/>
      <c r="I5" s="99" t="s">
        <v>151</v>
      </c>
      <c r="J5" s="99">
        <v>75</v>
      </c>
      <c r="K5" s="99"/>
      <c r="M5" s="69" t="s">
        <v>300</v>
      </c>
      <c r="N5" s="69">
        <v>105</v>
      </c>
      <c r="O5" s="69"/>
      <c r="V5" s="58"/>
      <c r="W5" s="62"/>
      <c r="X5" s="41"/>
      <c r="Y5" s="59"/>
      <c r="Z5" s="60"/>
      <c r="AA5" s="63"/>
    </row>
    <row r="6" customHeight="1" spans="2:27">
      <c r="B6" s="123">
        <v>22</v>
      </c>
      <c r="C6" s="133" t="str">
        <f>VLOOKUP(B6,选手名单!A:I,2,0)</f>
        <v>哞哞</v>
      </c>
      <c r="D6" s="123">
        <f>VLOOKUP(B6,选手名单!A:I,6,0)</f>
        <v>65</v>
      </c>
      <c r="E6" s="123">
        <f>VLOOKUP(B6,选手名单!A:I,3,0)</f>
        <v>235611786</v>
      </c>
      <c r="F6" s="123">
        <f>VLOOKUP(B6,选手名单!A:I,5,0)</f>
        <v>4300</v>
      </c>
      <c r="G6" s="128" t="str">
        <f>VLOOKUP(B6,选手名单!A:I,7,0)</f>
        <v>二</v>
      </c>
      <c r="H6" s="128"/>
      <c r="I6" s="99" t="s">
        <v>631</v>
      </c>
      <c r="J6" s="99">
        <v>70</v>
      </c>
      <c r="K6" s="99"/>
      <c r="M6" s="69" t="s">
        <v>628</v>
      </c>
      <c r="N6" s="69">
        <v>40</v>
      </c>
      <c r="O6" s="69"/>
      <c r="U6" s="114" t="s">
        <v>87</v>
      </c>
      <c r="V6" s="58"/>
      <c r="W6" s="60"/>
      <c r="X6" s="63" t="s">
        <v>742</v>
      </c>
      <c r="Y6" s="58"/>
      <c r="Z6" s="60"/>
      <c r="AA6" s="1"/>
    </row>
    <row r="7" customHeight="1" spans="2:27">
      <c r="B7" s="123">
        <v>16</v>
      </c>
      <c r="C7" s="132" t="str">
        <f>VLOOKUP(B7,选手名单!A:I,2,0)</f>
        <v>你也喜欢河马嘛</v>
      </c>
      <c r="D7" s="123">
        <f>VLOOKUP(B7,选手名单!A:I,6,0)</f>
        <v>53</v>
      </c>
      <c r="E7" s="123">
        <f>VLOOKUP(B7,选手名单!A:I,3,0)</f>
        <v>189497913</v>
      </c>
      <c r="F7" s="123">
        <f>VLOOKUP(B7,选手名单!A:I,5,0)</f>
        <v>5300</v>
      </c>
      <c r="G7" s="128" t="str">
        <f>VLOOKUP(B7,选手名单!A:I,7,0)</f>
        <v>一,二,三,四,五</v>
      </c>
      <c r="H7" s="129"/>
      <c r="I7" s="99" t="s">
        <v>179</v>
      </c>
      <c r="J7" s="99">
        <v>60</v>
      </c>
      <c r="K7" s="99"/>
      <c r="M7" s="69" t="s">
        <v>418</v>
      </c>
      <c r="N7" s="69">
        <v>30</v>
      </c>
      <c r="O7" s="69"/>
      <c r="U7" s="41"/>
      <c r="V7" s="59"/>
      <c r="W7" s="58"/>
      <c r="Y7" s="58"/>
      <c r="Z7" s="60"/>
      <c r="AA7" s="139" t="s">
        <v>87</v>
      </c>
    </row>
    <row r="8" customHeight="1" spans="2:27">
      <c r="B8" s="123">
        <v>18</v>
      </c>
      <c r="C8" s="133" t="str">
        <f>VLOOKUP(B8,选手名单!A:I,2,0)</f>
        <v>王亚祈</v>
      </c>
      <c r="D8" s="123">
        <f>VLOOKUP(B8,选手名单!A:I,6,0)</f>
        <v>55</v>
      </c>
      <c r="E8" s="123">
        <f>VLOOKUP(B8,选手名单!A:I,3,0)</f>
        <v>417868870</v>
      </c>
      <c r="F8" s="123">
        <f>VLOOKUP(B8,选手名单!A:I,5,0)</f>
        <v>5500</v>
      </c>
      <c r="G8" s="128" t="str">
        <f>VLOOKUP(B8,选手名单!A:I,7,0)</f>
        <v>一,四,五</v>
      </c>
      <c r="H8" s="128"/>
      <c r="I8" s="99" t="s">
        <v>727</v>
      </c>
      <c r="J8" s="99">
        <f>SUM(J3:J7)</f>
        <v>340</v>
      </c>
      <c r="M8" s="67" t="s">
        <v>727</v>
      </c>
      <c r="N8" s="67">
        <f>SUM(N3:N7)</f>
        <v>350</v>
      </c>
      <c r="U8" s="49"/>
      <c r="V8" s="49"/>
      <c r="W8" s="49"/>
      <c r="Y8" s="58"/>
      <c r="Z8" s="60"/>
      <c r="AA8" s="41"/>
    </row>
    <row r="9" customHeight="1" spans="2:28">
      <c r="B9" s="123">
        <v>34</v>
      </c>
      <c r="C9" s="133" t="str">
        <f>VLOOKUP(B9,选手名单!A:I,2,0)</f>
        <v>精品贵公子</v>
      </c>
      <c r="D9" s="123">
        <f>VLOOKUP(B9,选手名单!A:I,6,0)</f>
        <v>83</v>
      </c>
      <c r="E9" s="123">
        <f>VLOOKUP(B9,选手名单!A:I,3,0)</f>
        <v>0</v>
      </c>
      <c r="F9" s="123">
        <f>VLOOKUP(B9,选手名单!A:I,5,0)</f>
        <v>8600</v>
      </c>
      <c r="G9" s="128" t="str">
        <f>VLOOKUP(B9,选手名单!A:I,7,0)</f>
        <v>一,三</v>
      </c>
      <c r="H9" s="128"/>
      <c r="I9" s="68" t="s">
        <v>775</v>
      </c>
      <c r="J9" s="41"/>
      <c r="K9" s="68" t="s">
        <v>773</v>
      </c>
      <c r="L9" s="41"/>
      <c r="M9" s="101" t="s">
        <v>776</v>
      </c>
      <c r="N9" s="41"/>
      <c r="O9" s="101" t="s">
        <v>773</v>
      </c>
      <c r="P9" s="41"/>
      <c r="U9" s="51"/>
      <c r="V9" s="58"/>
      <c r="W9" s="58"/>
      <c r="Y9" s="58"/>
      <c r="Z9" s="62"/>
      <c r="AA9" s="41"/>
      <c r="AB9" s="80"/>
    </row>
    <row r="10" customHeight="1" spans="2:28">
      <c r="B10" s="123">
        <v>20</v>
      </c>
      <c r="C10" s="133" t="str">
        <f>VLOOKUP(B10,选手名单!A:I,2,0)</f>
        <v>芋头芭乐脑袋</v>
      </c>
      <c r="D10" s="123">
        <f>VLOOKUP(B10,选手名单!A:I,6,0)</f>
        <v>34</v>
      </c>
      <c r="E10" s="123">
        <f>VLOOKUP(B10,选手名单!A:I,3,0)</f>
        <v>168661508</v>
      </c>
      <c r="F10" s="123">
        <f>VLOOKUP(B10,选手名单!A:I,5,0)</f>
        <v>3400</v>
      </c>
      <c r="G10" s="128" t="str">
        <f>VLOOKUP(B10,选手名单!A:I,7,0)</f>
        <v>四,五</v>
      </c>
      <c r="H10" s="128"/>
      <c r="I10" s="68" t="s">
        <v>253</v>
      </c>
      <c r="J10" s="68">
        <v>0</v>
      </c>
      <c r="K10" s="68">
        <f>405-J11-J12-J13-J14</f>
        <v>0</v>
      </c>
      <c r="L10" s="41"/>
      <c r="M10" s="101" t="s">
        <v>408</v>
      </c>
      <c r="N10" s="101">
        <v>0</v>
      </c>
      <c r="O10" s="101">
        <f>390-N11-N12-N13-N14</f>
        <v>0</v>
      </c>
      <c r="P10" s="41"/>
      <c r="U10" s="54" t="s">
        <v>774</v>
      </c>
      <c r="V10" s="58"/>
      <c r="W10" s="58"/>
      <c r="Y10" s="58"/>
      <c r="Z10" s="60"/>
      <c r="AA10" s="41"/>
      <c r="AB10" s="81"/>
    </row>
    <row r="11" customHeight="1" spans="2:28">
      <c r="B11" s="123">
        <v>24</v>
      </c>
      <c r="C11" s="133" t="str">
        <f>VLOOKUP(B11,选手名单!A:I,2,0)</f>
        <v>雲天河</v>
      </c>
      <c r="D11" s="123">
        <f>VLOOKUP(B11,选手名单!A:I,6,0)</f>
        <v>76</v>
      </c>
      <c r="E11" s="123">
        <f>VLOOKUP(B11,选手名单!A:I,3,0)</f>
        <v>267719332</v>
      </c>
      <c r="F11" s="123">
        <f>VLOOKUP(B11,选手名单!A:I,5,0)</f>
        <v>6500</v>
      </c>
      <c r="G11" s="128" t="str">
        <f>VLOOKUP(B11,选手名单!A:I,7,0)</f>
        <v>二,四,五</v>
      </c>
      <c r="H11" s="128"/>
      <c r="I11" s="68" t="s">
        <v>80</v>
      </c>
      <c r="J11" s="68">
        <v>180</v>
      </c>
      <c r="K11" s="68"/>
      <c r="M11" s="101" t="s">
        <v>281</v>
      </c>
      <c r="N11" s="101">
        <v>170</v>
      </c>
      <c r="O11" s="101"/>
      <c r="U11" s="41"/>
      <c r="V11" s="59"/>
      <c r="W11" s="60"/>
      <c r="Y11" s="58"/>
      <c r="Z11" s="60"/>
      <c r="AA11" s="63" t="s">
        <v>744</v>
      </c>
      <c r="AB11" s="81"/>
    </row>
    <row r="12" customHeight="1" spans="2:30">
      <c r="B12" s="123">
        <v>40</v>
      </c>
      <c r="C12" s="133" t="e">
        <f>VLOOKUP(B12,选手名单!A:I,2,0)</f>
        <v>#N/A</v>
      </c>
      <c r="D12" s="123" t="e">
        <f>VLOOKUP(B12,选手名单!A:I,6,0)</f>
        <v>#N/A</v>
      </c>
      <c r="E12" s="123" t="e">
        <f>VLOOKUP(B12,选手名单!A:I,3,0)</f>
        <v>#N/A</v>
      </c>
      <c r="F12" s="123" t="e">
        <f>VLOOKUP(B12,选手名单!A:I,5,0)</f>
        <v>#N/A</v>
      </c>
      <c r="G12" s="128" t="e">
        <f>VLOOKUP(B12,选手名单!A:I,7,0)</f>
        <v>#N/A</v>
      </c>
      <c r="H12" s="128"/>
      <c r="I12" s="68" t="s">
        <v>354</v>
      </c>
      <c r="J12" s="68">
        <v>95</v>
      </c>
      <c r="K12" s="68"/>
      <c r="M12" s="101" t="s">
        <v>633</v>
      </c>
      <c r="N12" s="101">
        <v>135</v>
      </c>
      <c r="O12" s="101"/>
      <c r="U12" s="63" t="s">
        <v>738</v>
      </c>
      <c r="V12" s="58"/>
      <c r="W12" s="60"/>
      <c r="X12" s="54" t="s">
        <v>777</v>
      </c>
      <c r="Y12" s="58"/>
      <c r="Z12" s="60"/>
      <c r="AB12" s="81"/>
      <c r="AD12" s="3" t="s">
        <v>601</v>
      </c>
    </row>
    <row r="13" customHeight="1" spans="2:32">
      <c r="B13" s="123">
        <v>29</v>
      </c>
      <c r="C13" s="133" t="str">
        <f>VLOOKUP(B13,选手名单!A:I,2,0)</f>
        <v>风</v>
      </c>
      <c r="D13" s="123">
        <f>VLOOKUP(B13,选手名单!A:I,6,0)</f>
        <v>50</v>
      </c>
      <c r="E13" s="123">
        <f>VLOOKUP(B13,选手名单!A:I,3,0)</f>
        <v>178988576</v>
      </c>
      <c r="F13" s="123">
        <f>VLOOKUP(B13,选手名单!A:I,5,0)</f>
        <v>5000</v>
      </c>
      <c r="G13" s="128" t="str">
        <f>VLOOKUP(B13,选手名单!A:I,7,0)</f>
        <v>一,三</v>
      </c>
      <c r="H13" s="128"/>
      <c r="I13" s="68" t="s">
        <v>632</v>
      </c>
      <c r="J13" s="68">
        <v>40</v>
      </c>
      <c r="K13" s="68"/>
      <c r="M13" s="101" t="s">
        <v>396</v>
      </c>
      <c r="N13" s="101">
        <v>30</v>
      </c>
      <c r="O13" s="101"/>
      <c r="V13" s="58"/>
      <c r="W13" s="62"/>
      <c r="X13" s="41"/>
      <c r="Y13" s="59"/>
      <c r="Z13" s="58"/>
      <c r="AB13" s="81"/>
      <c r="AD13" s="142" t="s">
        <v>87</v>
      </c>
      <c r="AE13" s="100" t="s">
        <v>635</v>
      </c>
      <c r="AF13" s="75"/>
    </row>
    <row r="14" customHeight="1" spans="2:32">
      <c r="B14" s="123">
        <v>36</v>
      </c>
      <c r="C14" s="132" t="e">
        <f>VLOOKUP(B14,选手名单!A:I,2,0)</f>
        <v>#N/A</v>
      </c>
      <c r="D14" s="123" t="e">
        <f>VLOOKUP(B14,选手名单!A:I,6,0)</f>
        <v>#N/A</v>
      </c>
      <c r="E14" s="123" t="e">
        <f>VLOOKUP(B14,选手名单!A:I,3,0)</f>
        <v>#N/A</v>
      </c>
      <c r="F14" s="123" t="e">
        <f>VLOOKUP(B14,选手名单!A:I,5,0)</f>
        <v>#N/A</v>
      </c>
      <c r="G14" s="128" t="e">
        <f>VLOOKUP(B14,选手名单!A:I,7,0)</f>
        <v>#N/A</v>
      </c>
      <c r="H14" s="128"/>
      <c r="I14" s="68" t="s">
        <v>172</v>
      </c>
      <c r="J14" s="68">
        <v>90</v>
      </c>
      <c r="K14" s="68"/>
      <c r="M14" s="101" t="s">
        <v>174</v>
      </c>
      <c r="N14" s="101">
        <v>55</v>
      </c>
      <c r="O14" s="101"/>
      <c r="U14" s="91" t="s">
        <v>429</v>
      </c>
      <c r="V14" s="58"/>
      <c r="W14" s="60"/>
      <c r="X14" s="1"/>
      <c r="Y14" s="58"/>
      <c r="Z14" s="58"/>
      <c r="AB14" s="81"/>
      <c r="AD14" s="105"/>
      <c r="AE14" s="100" t="s">
        <v>626</v>
      </c>
      <c r="AF14" s="75"/>
    </row>
    <row r="15" customHeight="1" spans="2:32">
      <c r="B15" s="123">
        <v>37</v>
      </c>
      <c r="C15" s="133" t="e">
        <f>VLOOKUP(B15,选手名单!A:I,2,0)</f>
        <v>#N/A</v>
      </c>
      <c r="D15" s="123" t="e">
        <f>VLOOKUP(B15,选手名单!A:I,6,0)</f>
        <v>#N/A</v>
      </c>
      <c r="E15" s="123" t="e">
        <f>VLOOKUP(B15,选手名单!A:I,3,0)</f>
        <v>#N/A</v>
      </c>
      <c r="F15" s="123" t="e">
        <f>VLOOKUP(B15,选手名单!A:I,5,0)</f>
        <v>#N/A</v>
      </c>
      <c r="G15" s="128" t="e">
        <f>VLOOKUP(B15,选手名单!A:I,7,0)</f>
        <v>#N/A</v>
      </c>
      <c r="H15" s="129"/>
      <c r="I15" s="68" t="s">
        <v>727</v>
      </c>
      <c r="J15" s="68">
        <f>SUM(J10:J13)</f>
        <v>315</v>
      </c>
      <c r="M15" s="101" t="s">
        <v>727</v>
      </c>
      <c r="N15" s="101">
        <f>SUM(N10:N14)</f>
        <v>390</v>
      </c>
      <c r="U15" s="41"/>
      <c r="V15" s="59"/>
      <c r="W15" s="58"/>
      <c r="X15" s="1"/>
      <c r="Y15" s="58"/>
      <c r="Z15" s="58"/>
      <c r="AB15" s="81"/>
      <c r="AC15" t="s">
        <v>745</v>
      </c>
      <c r="AD15" s="105"/>
      <c r="AE15" s="100" t="s">
        <v>330</v>
      </c>
      <c r="AF15" s="75"/>
    </row>
    <row r="16" customHeight="1" spans="2:32">
      <c r="B16" s="123">
        <v>30</v>
      </c>
      <c r="C16" s="132" t="str">
        <f>VLOOKUP(B16,选手名单!A:I,2,0)</f>
        <v>荼霏</v>
      </c>
      <c r="D16" s="123">
        <f>VLOOKUP(B16,选手名单!A:I,6,0)</f>
        <v>75</v>
      </c>
      <c r="E16" s="123">
        <f>VLOOKUP(B16,选手名单!A:I,3,0)</f>
        <v>137852652</v>
      </c>
      <c r="F16" s="123">
        <f>VLOOKUP(B16,选手名单!A:I,5,0)</f>
        <v>6800</v>
      </c>
      <c r="G16" s="128" t="str">
        <f>VLOOKUP(B16,选手名单!A:I,7,0)</f>
        <v>一,二,四,五</v>
      </c>
      <c r="H16" s="128"/>
      <c r="I16" s="71" t="s">
        <v>778</v>
      </c>
      <c r="J16" s="41"/>
      <c r="K16" s="71" t="s">
        <v>773</v>
      </c>
      <c r="L16" s="41"/>
      <c r="M16" s="102" t="s">
        <v>779</v>
      </c>
      <c r="N16" s="41"/>
      <c r="O16" s="102" t="s">
        <v>773</v>
      </c>
      <c r="P16" s="41"/>
      <c r="AB16" s="81"/>
      <c r="AD16" s="105"/>
      <c r="AE16" s="100" t="s">
        <v>636</v>
      </c>
      <c r="AF16" s="75"/>
    </row>
    <row r="17" customHeight="1" spans="2:32">
      <c r="B17" s="123">
        <v>23</v>
      </c>
      <c r="C17" s="133" t="str">
        <f>VLOOKUP(B17,选手名单!A:I,2,0)</f>
        <v>辞</v>
      </c>
      <c r="D17" s="123">
        <f>VLOOKUP(B17,选手名单!A:I,6,0)</f>
        <v>88</v>
      </c>
      <c r="E17" s="123">
        <f>VLOOKUP(B17,选手名单!A:I,3,0)</f>
        <v>417861014</v>
      </c>
      <c r="F17" s="123">
        <f>VLOOKUP(B17,选手名单!A:I,5,0)</f>
        <v>8300</v>
      </c>
      <c r="G17" s="128" t="str">
        <f>VLOOKUP(B17,选手名单!A:I,7,0)</f>
        <v>一,二</v>
      </c>
      <c r="H17" s="128"/>
      <c r="I17" s="71" t="s">
        <v>634</v>
      </c>
      <c r="J17" s="71">
        <v>0</v>
      </c>
      <c r="K17" s="71">
        <f>400-J18-J19-J20-J21</f>
        <v>0</v>
      </c>
      <c r="L17" s="41"/>
      <c r="M17" s="103" t="s">
        <v>150</v>
      </c>
      <c r="N17" s="103">
        <v>0</v>
      </c>
      <c r="O17" s="102">
        <f>365-N18-N19-N20-N21</f>
        <v>0</v>
      </c>
      <c r="P17" s="41"/>
      <c r="U17" s="136" t="s">
        <v>775</v>
      </c>
      <c r="V17" s="58"/>
      <c r="W17" s="58"/>
      <c r="X17" s="1"/>
      <c r="Y17" s="58"/>
      <c r="Z17" s="58"/>
      <c r="AB17" s="81"/>
      <c r="AD17" s="106"/>
      <c r="AE17" s="100" t="s">
        <v>376</v>
      </c>
      <c r="AF17" s="75"/>
    </row>
    <row r="18" customHeight="1" spans="2:28">
      <c r="B18" s="123">
        <v>27</v>
      </c>
      <c r="C18" s="133" t="str">
        <f>VLOOKUP(B18,选手名单!A:I,2,0)</f>
        <v>YuuU</v>
      </c>
      <c r="D18" s="123">
        <f>VLOOKUP(B18,选手名单!A:I,6,0)</f>
        <v>77</v>
      </c>
      <c r="E18" s="123">
        <f>VLOOKUP(B18,选手名单!A:I,3,0)</f>
        <v>885588023</v>
      </c>
      <c r="F18" s="123">
        <f>VLOOKUP(B18,选手名单!A:I,5,0)</f>
        <v>7000</v>
      </c>
      <c r="G18" s="128" t="str">
        <f>VLOOKUP(B18,选手名单!A:I,7,0)</f>
        <v>一,二,三,四,五</v>
      </c>
      <c r="H18" s="128"/>
      <c r="I18" s="71" t="s">
        <v>88</v>
      </c>
      <c r="J18" s="71">
        <v>150</v>
      </c>
      <c r="K18" s="71"/>
      <c r="M18" s="103" t="s">
        <v>26</v>
      </c>
      <c r="N18" s="103">
        <v>175</v>
      </c>
      <c r="O18" s="103"/>
      <c r="U18" s="41"/>
      <c r="V18" s="59"/>
      <c r="W18" s="60"/>
      <c r="X18" s="51"/>
      <c r="Y18" s="58"/>
      <c r="Z18" s="58"/>
      <c r="AB18" s="81"/>
    </row>
    <row r="19" customHeight="1" spans="2:28">
      <c r="B19" s="123">
        <v>31</v>
      </c>
      <c r="C19" s="133" t="str">
        <f>VLOOKUP(B19,选手名单!A:I,2,0)</f>
        <v>老K</v>
      </c>
      <c r="D19" s="123">
        <f>VLOOKUP(B19,选手名单!A:I,6,0)</f>
        <v>40</v>
      </c>
      <c r="E19" s="123">
        <f>VLOOKUP(B19,选手名单!A:I,3,0)</f>
        <v>148343069</v>
      </c>
      <c r="F19" s="123">
        <f>VLOOKUP(B19,选手名单!A:I,5,0)</f>
        <v>4000</v>
      </c>
      <c r="G19" s="128" t="str">
        <f>VLOOKUP(B19,选手名单!A:I,7,0)</f>
        <v>二,四,五</v>
      </c>
      <c r="H19" s="128"/>
      <c r="I19" s="71" t="s">
        <v>301</v>
      </c>
      <c r="J19" s="71">
        <v>150</v>
      </c>
      <c r="K19" s="71"/>
      <c r="M19" s="103" t="s">
        <v>101</v>
      </c>
      <c r="N19" s="103">
        <v>125</v>
      </c>
      <c r="O19" s="103"/>
      <c r="U19" s="63" t="s">
        <v>748</v>
      </c>
      <c r="V19" s="58"/>
      <c r="W19" s="60"/>
      <c r="X19" s="136" t="s">
        <v>775</v>
      </c>
      <c r="Y19" s="58"/>
      <c r="Z19" s="58"/>
      <c r="AB19" s="81"/>
    </row>
    <row r="20" customHeight="1" spans="2:28">
      <c r="B20" s="123">
        <v>19</v>
      </c>
      <c r="C20" s="133">
        <f>VLOOKUP(B20,选手名单!A:I,2,0)</f>
        <v>21</v>
      </c>
      <c r="D20" s="123">
        <f>VLOOKUP(B20,选手名单!A:I,6,0)</f>
        <v>75</v>
      </c>
      <c r="E20" s="123">
        <f>VLOOKUP(B20,选手名单!A:I,3,0)</f>
        <v>277443592</v>
      </c>
      <c r="F20" s="123">
        <f>VLOOKUP(B20,选手名单!A:I,5,0)</f>
        <v>6800</v>
      </c>
      <c r="G20" s="128" t="str">
        <f>VLOOKUP(B20,选手名单!A:I,7,0)</f>
        <v>一</v>
      </c>
      <c r="H20" s="129"/>
      <c r="I20" s="71" t="s">
        <v>132</v>
      </c>
      <c r="J20" s="71">
        <v>30</v>
      </c>
      <c r="K20" s="71"/>
      <c r="M20" s="103" t="s">
        <v>144</v>
      </c>
      <c r="N20" s="103">
        <v>35</v>
      </c>
      <c r="O20" s="103"/>
      <c r="V20" s="58"/>
      <c r="W20" s="62"/>
      <c r="X20" s="41"/>
      <c r="Y20" s="59"/>
      <c r="Z20" s="60"/>
      <c r="AB20" s="81"/>
    </row>
    <row r="21" customHeight="1" spans="2:28">
      <c r="B21" s="123">
        <v>33</v>
      </c>
      <c r="C21" s="133" t="str">
        <f>VLOOKUP(B21,选手名单!A:I,2,0)</f>
        <v>杜麦尼</v>
      </c>
      <c r="D21" s="123">
        <f>VLOOKUP(B21,选手名单!A:I,6,0)</f>
        <v>50</v>
      </c>
      <c r="E21" s="123">
        <f>VLOOKUP(B21,选手名单!A:I,3,0)</f>
        <v>157424993</v>
      </c>
      <c r="F21" s="123">
        <f>VLOOKUP(B21,选手名单!A:I,5,0)</f>
        <v>5000</v>
      </c>
      <c r="G21" s="128" t="str">
        <f>VLOOKUP(B21,选手名单!A:I,7,0)</f>
        <v>一,二</v>
      </c>
      <c r="H21" s="128"/>
      <c r="I21" s="71" t="s">
        <v>529</v>
      </c>
      <c r="J21" s="71">
        <v>70</v>
      </c>
      <c r="K21" s="71"/>
      <c r="M21" s="103" t="s">
        <v>561</v>
      </c>
      <c r="N21" s="103">
        <v>30</v>
      </c>
      <c r="O21" s="103"/>
      <c r="U21" s="45" t="s">
        <v>150</v>
      </c>
      <c r="V21" s="58"/>
      <c r="W21" s="60"/>
      <c r="X21" s="63" t="s">
        <v>749</v>
      </c>
      <c r="Y21" s="58"/>
      <c r="Z21" s="60"/>
      <c r="AB21" s="81"/>
    </row>
    <row r="22" customHeight="1" spans="2:30">
      <c r="B22" s="123">
        <v>38</v>
      </c>
      <c r="C22" s="133" t="e">
        <f>VLOOKUP(B22,选手名单!A:I,2,0)</f>
        <v>#N/A</v>
      </c>
      <c r="D22" s="123" t="e">
        <f>VLOOKUP(B22,选手名单!A:I,6,0)</f>
        <v>#N/A</v>
      </c>
      <c r="E22" s="123" t="e">
        <f>VLOOKUP(B22,选手名单!A:I,3,0)</f>
        <v>#N/A</v>
      </c>
      <c r="F22" s="123" t="e">
        <f>VLOOKUP(B22,选手名单!A:I,5,0)</f>
        <v>#N/A</v>
      </c>
      <c r="G22" s="128" t="e">
        <f>VLOOKUP(B22,选手名单!A:I,7,0)</f>
        <v>#N/A</v>
      </c>
      <c r="H22" s="128"/>
      <c r="I22" s="71" t="s">
        <v>727</v>
      </c>
      <c r="J22" s="71">
        <f>SUM(J17:J21)</f>
        <v>400</v>
      </c>
      <c r="M22" s="102" t="s">
        <v>727</v>
      </c>
      <c r="N22" s="102">
        <f>SUM(N17:N21)</f>
        <v>365</v>
      </c>
      <c r="U22" s="41"/>
      <c r="V22" s="59"/>
      <c r="W22" s="58"/>
      <c r="Y22" s="58"/>
      <c r="Z22" s="60"/>
      <c r="AA22" s="140" t="s">
        <v>775</v>
      </c>
      <c r="AB22" s="81"/>
      <c r="AD22" s="68" t="s">
        <v>253</v>
      </c>
    </row>
    <row r="23" customHeight="1" spans="2:30">
      <c r="B23" s="123">
        <v>10</v>
      </c>
      <c r="C23" s="133" t="str">
        <f>VLOOKUP(B23,选手名单!A:I,2,0)</f>
        <v>阿魂呐</v>
      </c>
      <c r="D23" s="123">
        <f>VLOOKUP(B23,选手名单!A:I,6,0)</f>
        <v>81</v>
      </c>
      <c r="E23" s="123">
        <f>VLOOKUP(B23,选手名单!A:I,3,0)</f>
        <v>138558413</v>
      </c>
      <c r="F23" s="123">
        <f>VLOOKUP(B23,选手名单!A:I,5,0)</f>
        <v>7500</v>
      </c>
      <c r="G23" s="128" t="str">
        <f>VLOOKUP(B23,选手名单!A:I,7,0)</f>
        <v>二</v>
      </c>
      <c r="H23" s="128"/>
      <c r="I23" s="100" t="s">
        <v>87</v>
      </c>
      <c r="J23" s="41"/>
      <c r="K23" s="100" t="s">
        <v>773</v>
      </c>
      <c r="L23" s="41"/>
      <c r="M23" s="104" t="s">
        <v>429</v>
      </c>
      <c r="N23" s="41"/>
      <c r="O23" s="104" t="s">
        <v>773</v>
      </c>
      <c r="P23" s="41"/>
      <c r="U23" s="49"/>
      <c r="V23" s="49"/>
      <c r="W23" s="49"/>
      <c r="Y23" s="58"/>
      <c r="Z23" s="60"/>
      <c r="AA23" s="41"/>
      <c r="AB23" s="83"/>
      <c r="AD23" s="68" t="s">
        <v>80</v>
      </c>
    </row>
    <row r="24" customHeight="1" spans="2:30">
      <c r="B24" s="123">
        <v>13</v>
      </c>
      <c r="C24" s="133" t="str">
        <f>VLOOKUP(B24,选手名单!A:I,2,0)</f>
        <v>赤夜紫雨</v>
      </c>
      <c r="D24" s="123">
        <f>VLOOKUP(B24,选手名单!A:I,6,0)</f>
        <v>89</v>
      </c>
      <c r="E24" s="123">
        <f>VLOOKUP(B24,选手名单!A:I,3,0)</f>
        <v>187933845</v>
      </c>
      <c r="F24" s="123">
        <f>VLOOKUP(B24,选手名单!A:I,5,0)</f>
        <v>8100</v>
      </c>
      <c r="G24" s="128" t="str">
        <f>VLOOKUP(B24,选手名单!A:I,7,0)</f>
        <v>一,三</v>
      </c>
      <c r="H24" s="128"/>
      <c r="I24" s="100" t="s">
        <v>635</v>
      </c>
      <c r="J24" s="100">
        <v>0</v>
      </c>
      <c r="K24" s="100">
        <f>365-J25-J26-J27-J28</f>
        <v>15</v>
      </c>
      <c r="L24" s="41"/>
      <c r="M24" s="104" t="s">
        <v>429</v>
      </c>
      <c r="N24" s="104">
        <v>0</v>
      </c>
      <c r="O24" s="104">
        <f>400-N25-N26-N27-N28</f>
        <v>0</v>
      </c>
      <c r="P24" s="41"/>
      <c r="U24" s="51"/>
      <c r="V24" s="58"/>
      <c r="W24" s="58"/>
      <c r="Y24" s="58"/>
      <c r="Z24" s="62"/>
      <c r="AA24" s="41"/>
      <c r="AD24" s="68" t="s">
        <v>354</v>
      </c>
    </row>
    <row r="25" customHeight="1" spans="2:30">
      <c r="B25" s="123">
        <v>35</v>
      </c>
      <c r="C25" s="133" t="str">
        <f>VLOOKUP(B25,选手名单!A:I,2,0)</f>
        <v>宇文成都</v>
      </c>
      <c r="D25" s="123">
        <f>VLOOKUP(B25,选手名单!A:I,6,0)</f>
        <v>55</v>
      </c>
      <c r="E25" s="123">
        <f>VLOOKUP(B25,选手名单!A:I,3,0)</f>
        <v>136662507</v>
      </c>
      <c r="F25" s="123">
        <f>VLOOKUP(B25,选手名单!A:I,5,0)</f>
        <v>5800</v>
      </c>
      <c r="G25" s="128" t="str">
        <f>VLOOKUP(B25,选手名单!A:I,7,0)</f>
        <v>三,四</v>
      </c>
      <c r="H25" s="128"/>
      <c r="I25" s="100" t="s">
        <v>626</v>
      </c>
      <c r="J25" s="100">
        <v>150</v>
      </c>
      <c r="K25" s="100"/>
      <c r="M25" s="104" t="s">
        <v>618</v>
      </c>
      <c r="N25" s="104">
        <v>195</v>
      </c>
      <c r="O25" s="104"/>
      <c r="U25" s="137" t="s">
        <v>776</v>
      </c>
      <c r="V25" s="58"/>
      <c r="W25" s="58"/>
      <c r="Y25" s="58"/>
      <c r="Z25" s="60"/>
      <c r="AA25" s="41"/>
      <c r="AD25" s="68" t="s">
        <v>632</v>
      </c>
    </row>
    <row r="26" customHeight="1" spans="2:30">
      <c r="B26" s="123">
        <v>11</v>
      </c>
      <c r="C26" s="132" t="str">
        <f>VLOOKUP(B26,选手名单!A:I,2,0)</f>
        <v>iceice</v>
      </c>
      <c r="D26" s="123">
        <f>VLOOKUP(B26,选手名单!A:I,6,0)</f>
        <v>45</v>
      </c>
      <c r="E26" s="123">
        <f>VLOOKUP(B26,选手名单!A:I,3,0)</f>
        <v>0</v>
      </c>
      <c r="F26" s="123">
        <f>VLOOKUP(B26,选手名单!A:I,5,0)</f>
        <v>5500</v>
      </c>
      <c r="G26" s="128" t="str">
        <f>VLOOKUP(B26,选手名单!A:I,7,0)</f>
        <v>四,五</v>
      </c>
      <c r="H26" s="129"/>
      <c r="I26" s="100" t="s">
        <v>330</v>
      </c>
      <c r="J26" s="100">
        <v>50</v>
      </c>
      <c r="K26" s="100"/>
      <c r="M26" s="104" t="s">
        <v>637</v>
      </c>
      <c r="N26" s="104">
        <v>90</v>
      </c>
      <c r="O26" s="104"/>
      <c r="U26" s="41"/>
      <c r="V26" s="59"/>
      <c r="W26" s="60"/>
      <c r="Y26" s="58"/>
      <c r="Z26" s="60"/>
      <c r="AA26" s="58"/>
      <c r="AD26" s="68" t="s">
        <v>172</v>
      </c>
    </row>
    <row r="27" customHeight="1" spans="2:27">
      <c r="B27" s="123">
        <v>12</v>
      </c>
      <c r="C27" s="133" t="str">
        <f>VLOOKUP(B27,选手名单!A:I,2,0)</f>
        <v>秋</v>
      </c>
      <c r="D27" s="123">
        <f>VLOOKUP(B27,选手名单!A:I,6,0)</f>
        <v>90</v>
      </c>
      <c r="E27" s="123">
        <f>VLOOKUP(B27,选手名单!A:I,3,0)</f>
        <v>1004877057</v>
      </c>
      <c r="F27" s="123">
        <f>VLOOKUP(B27,选手名单!A:I,5,0)</f>
        <v>9000</v>
      </c>
      <c r="G27" s="128" t="str">
        <f>VLOOKUP(B27,选手名单!A:I,7,0)</f>
        <v>一,二,三,四</v>
      </c>
      <c r="H27" s="128"/>
      <c r="I27" s="100" t="s">
        <v>636</v>
      </c>
      <c r="J27" s="100">
        <v>100</v>
      </c>
      <c r="K27" s="100"/>
      <c r="M27" s="104">
        <v>21</v>
      </c>
      <c r="N27" s="104">
        <v>30</v>
      </c>
      <c r="O27" s="104"/>
      <c r="U27" s="63" t="s">
        <v>752</v>
      </c>
      <c r="V27" s="58"/>
      <c r="W27" s="60"/>
      <c r="X27" s="137" t="s">
        <v>778</v>
      </c>
      <c r="Y27" s="58"/>
      <c r="Z27" s="60"/>
      <c r="AA27" s="58"/>
    </row>
    <row r="28" customHeight="1" spans="2:27">
      <c r="B28" s="123">
        <v>17</v>
      </c>
      <c r="C28" s="133" t="str">
        <f>VLOOKUP(B28,选手名单!A:I,2,0)</f>
        <v>寥寥</v>
      </c>
      <c r="D28" s="123">
        <f>VLOOKUP(B28,选手名单!A:I,6,0)</f>
        <v>40</v>
      </c>
      <c r="E28" s="123">
        <f>VLOOKUP(B28,选手名单!A:I,3,0)</f>
        <v>158643480</v>
      </c>
      <c r="F28" s="123">
        <f>VLOOKUP(B28,选手名单!A:I,5,0)</f>
        <v>4000</v>
      </c>
      <c r="G28" s="128" t="str">
        <f>VLOOKUP(B28,选手名单!A:I,7,0)</f>
        <v>一,二,三,四,五</v>
      </c>
      <c r="H28" s="128"/>
      <c r="I28" s="100" t="s">
        <v>376</v>
      </c>
      <c r="J28" s="100">
        <v>50</v>
      </c>
      <c r="K28" s="100"/>
      <c r="M28" s="104" t="s">
        <v>420</v>
      </c>
      <c r="N28" s="104">
        <v>85</v>
      </c>
      <c r="O28" s="104"/>
      <c r="V28" s="58"/>
      <c r="W28" s="62"/>
      <c r="X28" s="41"/>
      <c r="Y28" s="59"/>
      <c r="Z28" s="58"/>
      <c r="AA28" s="58"/>
    </row>
    <row r="29" customHeight="1" spans="2:27">
      <c r="B29" s="123">
        <v>8</v>
      </c>
      <c r="C29" s="127" t="str">
        <f>VLOOKUP(B29,选手名单!A:I,2,0)</f>
        <v>。。~</v>
      </c>
      <c r="D29" s="123">
        <f>VLOOKUP(B29,选手名单!A:I,6,0)</f>
        <v>50</v>
      </c>
      <c r="E29" s="123">
        <f>VLOOKUP(B29,选手名单!A:I,3,0)</f>
        <v>136537289</v>
      </c>
      <c r="F29" s="123">
        <f>VLOOKUP(B29,选手名单!A:I,5,0)</f>
        <v>5000</v>
      </c>
      <c r="G29" s="128" t="str">
        <f>VLOOKUP(B29,选手名单!A:I,7,0)</f>
        <v>一,二,三,四</v>
      </c>
      <c r="H29" s="128"/>
      <c r="I29" s="100" t="s">
        <v>727</v>
      </c>
      <c r="J29" s="100">
        <f>SUM(J24:J28)</f>
        <v>350</v>
      </c>
      <c r="M29" s="104" t="s">
        <v>727</v>
      </c>
      <c r="N29" s="104">
        <f>SUM(N24:N28)</f>
        <v>400</v>
      </c>
      <c r="U29" s="55" t="s">
        <v>778</v>
      </c>
      <c r="V29" s="58"/>
      <c r="W29" s="60"/>
      <c r="X29" s="1"/>
      <c r="Y29" s="58"/>
      <c r="Z29" s="58"/>
      <c r="AA29" s="99" t="s">
        <v>83</v>
      </c>
    </row>
    <row r="30" customHeight="1" spans="2:27">
      <c r="B30" s="123">
        <v>28</v>
      </c>
      <c r="C30" s="132" t="str">
        <f>VLOOKUP(B30,选手名单!A:I,2,0)</f>
        <v>BLY</v>
      </c>
      <c r="D30" s="123">
        <f>VLOOKUP(B30,选手名单!A:I,6,0)</f>
        <v>72</v>
      </c>
      <c r="E30" s="123">
        <f>VLOOKUP(B30,选手名单!A:I,3,0)</f>
        <v>323934704</v>
      </c>
      <c r="F30" s="123">
        <f>VLOOKUP(B30,选手名单!A:I,5,0)</f>
        <v>6400</v>
      </c>
      <c r="G30" s="128" t="str">
        <f>VLOOKUP(B30,选手名单!A:I,7,0)</f>
        <v>一</v>
      </c>
      <c r="H30" s="128"/>
      <c r="U30" s="41"/>
      <c r="V30" s="59"/>
      <c r="W30" s="58"/>
      <c r="X30" s="1"/>
      <c r="Y30" s="58"/>
      <c r="Z30" s="58"/>
      <c r="AA30" s="99" t="s">
        <v>107</v>
      </c>
    </row>
    <row r="31" customHeight="1" spans="2:27">
      <c r="B31" s="123">
        <v>9</v>
      </c>
      <c r="C31" s="133" t="str">
        <f>VLOOKUP(B31,选手名单!A:I,2,0)</f>
        <v>starling</v>
      </c>
      <c r="D31" s="123">
        <f>VLOOKUP(B31,选手名单!A:I,6,0)</f>
        <v>34</v>
      </c>
      <c r="E31" s="123">
        <f>VLOOKUP(B31,选手名单!A:I,3,0)</f>
        <v>400294058</v>
      </c>
      <c r="F31" s="123">
        <f>VLOOKUP(B31,选手名单!A:I,5,0)</f>
        <v>4000</v>
      </c>
      <c r="G31" s="128" t="str">
        <f>VLOOKUP(B31,选手名单!A:I,7,0)</f>
        <v>四,五</v>
      </c>
      <c r="H31" s="128"/>
      <c r="AA31" s="99" t="s">
        <v>151</v>
      </c>
    </row>
    <row r="32" customHeight="1" spans="2:30">
      <c r="B32" s="123">
        <v>39</v>
      </c>
      <c r="C32" s="132" t="e">
        <f>VLOOKUP(B32,选手名单!A:I,2,0)</f>
        <v>#N/A</v>
      </c>
      <c r="D32" s="123" t="e">
        <f>VLOOKUP(B32,选手名单!A:I,6,0)</f>
        <v>#N/A</v>
      </c>
      <c r="E32" s="123" t="e">
        <f>VLOOKUP(B32,选手名单!A:I,3,0)</f>
        <v>#N/A</v>
      </c>
      <c r="F32" s="123" t="e">
        <f>VLOOKUP(B32,选手名单!A:I,5,0)</f>
        <v>#N/A</v>
      </c>
      <c r="G32" s="128" t="e">
        <f>VLOOKUP(B32,选手名单!A:I,7,0)</f>
        <v>#N/A</v>
      </c>
      <c r="H32" s="128"/>
      <c r="V32" s="138" t="s">
        <v>780</v>
      </c>
      <c r="X32" s="38" t="s">
        <v>228</v>
      </c>
      <c r="Y32" s="58"/>
      <c r="Z32" s="58"/>
      <c r="AA32" s="99" t="s">
        <v>631</v>
      </c>
      <c r="AB32" s="58"/>
      <c r="AC32" s="58"/>
      <c r="AD32" s="58"/>
    </row>
    <row r="33" customHeight="1" spans="2:30">
      <c r="B33" s="123">
        <v>5</v>
      </c>
      <c r="C33" s="132" t="str">
        <f>VLOOKUP(B33,选手名单!A:I,2,0)</f>
        <v>蜡笔小雪</v>
      </c>
      <c r="D33" s="123">
        <f>VLOOKUP(B33,选手名单!A:I,6,0)</f>
        <v>60</v>
      </c>
      <c r="E33" s="123">
        <f>VLOOKUP(B33,选手名单!A:I,3,0)</f>
        <v>154029585</v>
      </c>
      <c r="F33" s="123">
        <f>VLOOKUP(B33,选手名单!A:I,5,0)</f>
        <v>6000</v>
      </c>
      <c r="G33" s="128" t="str">
        <f>VLOOKUP(B33,选手名单!A:I,7,0)</f>
        <v>三</v>
      </c>
      <c r="H33" s="129"/>
      <c r="X33" s="41"/>
      <c r="Y33" s="59"/>
      <c r="Z33" s="60"/>
      <c r="AA33" s="99" t="s">
        <v>179</v>
      </c>
      <c r="AB33" s="58"/>
      <c r="AC33" s="58"/>
      <c r="AD33" s="58"/>
    </row>
    <row r="34" customHeight="1" spans="2:30">
      <c r="B34" s="123">
        <v>26</v>
      </c>
      <c r="C34" s="133" t="str">
        <f>VLOOKUP(B34,选手名单!A:I,2,0)</f>
        <v>小牛</v>
      </c>
      <c r="D34" s="123">
        <f>VLOOKUP(B34,选手名单!A:I,6,0)</f>
        <v>75</v>
      </c>
      <c r="E34" s="123">
        <f>VLOOKUP(B34,选手名单!A:I,3,0)</f>
        <v>1259908216</v>
      </c>
      <c r="F34" s="123">
        <f>VLOOKUP(B34,选手名单!A:I,5,0)</f>
        <v>7500</v>
      </c>
      <c r="G34" s="128" t="str">
        <f>VLOOKUP(B34,选手名单!A:I,7,0)</f>
        <v>二</v>
      </c>
      <c r="H34" s="128"/>
      <c r="X34" s="63" t="s">
        <v>781</v>
      </c>
      <c r="Y34" s="58"/>
      <c r="Z34" s="60"/>
      <c r="AA34" s="141" t="s">
        <v>228</v>
      </c>
      <c r="AB34" s="58"/>
      <c r="AC34" s="58"/>
      <c r="AD34" s="58"/>
    </row>
    <row r="35" customHeight="1" spans="2:30">
      <c r="B35" s="123">
        <v>32</v>
      </c>
      <c r="C35" s="133" t="str">
        <f>VLOOKUP(B35,选手名单!A:I,2,0)</f>
        <v>黑色柳丁</v>
      </c>
      <c r="D35" s="123">
        <f>VLOOKUP(B35,选手名单!A:I,6,0)</f>
        <v>76</v>
      </c>
      <c r="E35" s="123">
        <f>VLOOKUP(B35,选手名单!A:I,3,0)</f>
        <v>457383175</v>
      </c>
      <c r="F35" s="123">
        <f>VLOOKUP(B35,选手名单!A:I,5,0)</f>
        <v>0</v>
      </c>
      <c r="G35" s="128" t="str">
        <f>VLOOKUP(B35,选手名单!A:I,7,0)</f>
        <v>二</v>
      </c>
      <c r="H35" s="128"/>
      <c r="Y35" s="58"/>
      <c r="Z35" s="62"/>
      <c r="AA35" s="41"/>
      <c r="AB35" s="59"/>
      <c r="AC35" s="60"/>
      <c r="AD35" s="63"/>
    </row>
    <row r="36" customHeight="1" spans="2:30">
      <c r="B36" s="123">
        <v>7</v>
      </c>
      <c r="C36" s="133" t="str">
        <f>VLOOKUP(B36,选手名单!A:I,2,0)</f>
        <v>大蟑螂</v>
      </c>
      <c r="D36" s="123">
        <f>VLOOKUP(B36,选手名单!A:I,6,0)</f>
        <v>87</v>
      </c>
      <c r="E36" s="123">
        <f>VLOOKUP(B36,选手名单!A:I,3,0)</f>
        <v>341670770</v>
      </c>
      <c r="F36" s="123">
        <f>VLOOKUP(B36,选手名单!A:I,5,0)</f>
        <v>9000</v>
      </c>
      <c r="G36" s="128" t="str">
        <f>VLOOKUP(B36,选手名单!A:I,7,0)</f>
        <v>二</v>
      </c>
      <c r="H36" s="129"/>
      <c r="X36" s="91" t="s">
        <v>429</v>
      </c>
      <c r="Y36" s="58"/>
      <c r="Z36" s="60"/>
      <c r="AA36" s="63" t="s">
        <v>782</v>
      </c>
      <c r="AB36" s="58"/>
      <c r="AC36" s="60"/>
      <c r="AD36" s="1" t="s">
        <v>783</v>
      </c>
    </row>
    <row r="37" customHeight="1" spans="2:31">
      <c r="B37" s="123">
        <v>25</v>
      </c>
      <c r="C37" s="134" t="str">
        <f>VLOOKUP(B37,选手名单!A:I,2,0)</f>
        <v>iqbs</v>
      </c>
      <c r="D37" s="123">
        <f>VLOOKUP(B37,选手名单!A:I,6,0)</f>
        <v>77</v>
      </c>
      <c r="E37" s="123">
        <f>VLOOKUP(B37,选手名单!A:I,3,0)</f>
        <v>383560624</v>
      </c>
      <c r="F37" s="123">
        <f>VLOOKUP(B37,选手名单!A:I,5,0)</f>
        <v>7700</v>
      </c>
      <c r="G37" s="128" t="str">
        <f>VLOOKUP(B37,选手名单!A:I,7,0)</f>
        <v>四,五,三</v>
      </c>
      <c r="H37" s="129"/>
      <c r="X37" s="41"/>
      <c r="Y37" s="59"/>
      <c r="Z37" s="58"/>
      <c r="AB37" s="58"/>
      <c r="AC37" s="60"/>
      <c r="AD37" s="143" t="s">
        <v>776</v>
      </c>
      <c r="AE37" s="101" t="s">
        <v>408</v>
      </c>
    </row>
    <row r="38" customHeight="1" spans="2:31">
      <c r="B38" s="123">
        <v>4</v>
      </c>
      <c r="C38" s="134" t="str">
        <f>VLOOKUP(B38,选手名单!A:I,2,0)</f>
        <v>军</v>
      </c>
      <c r="D38" s="123">
        <f>VLOOKUP(B38,选手名单!A:I,6,0)</f>
        <v>45</v>
      </c>
      <c r="E38" s="123">
        <f>VLOOKUP(B38,选手名单!A:I,3,0)</f>
        <v>77006306</v>
      </c>
      <c r="F38" s="123">
        <f>VLOOKUP(B38,选手名单!A:I,5,0)</f>
        <v>4600</v>
      </c>
      <c r="G38" s="128" t="str">
        <f>VLOOKUP(B38,选手名单!A:I,7,0)</f>
        <v>三,四</v>
      </c>
      <c r="H38" s="128"/>
      <c r="X38" s="49"/>
      <c r="Y38" s="49"/>
      <c r="Z38" s="49"/>
      <c r="AB38" s="58"/>
      <c r="AC38" s="60"/>
      <c r="AD38" s="41"/>
      <c r="AE38" s="101" t="s">
        <v>281</v>
      </c>
    </row>
    <row r="39" customHeight="1" spans="2:31">
      <c r="B39" s="123">
        <v>15</v>
      </c>
      <c r="C39" s="133" t="str">
        <f>VLOOKUP(B39,选手名单!A:I,2,0)</f>
        <v>End</v>
      </c>
      <c r="D39" s="123">
        <f>VLOOKUP(B39,选手名单!A:I,6,0)</f>
        <v>58</v>
      </c>
      <c r="E39" s="123">
        <f>VLOOKUP(B39,选手名单!A:I,3,0)</f>
        <v>354618808</v>
      </c>
      <c r="F39" s="123">
        <f>VLOOKUP(B39,选手名单!A:I,5,0)</f>
        <v>6000</v>
      </c>
      <c r="G39" s="128" t="str">
        <f>VLOOKUP(B39,选手名单!A:I,7,0)</f>
        <v>一,五</v>
      </c>
      <c r="H39" s="128"/>
      <c r="X39" s="51"/>
      <c r="Y39" s="58"/>
      <c r="Z39" s="58"/>
      <c r="AB39" s="58"/>
      <c r="AC39" s="62"/>
      <c r="AD39" s="41"/>
      <c r="AE39" s="101" t="s">
        <v>633</v>
      </c>
    </row>
    <row r="40" customHeight="1" spans="2:31">
      <c r="B40" s="123">
        <v>21</v>
      </c>
      <c r="C40" s="134" t="str">
        <f>VLOOKUP(B40,选手名单!A:I,2,0)</f>
        <v>游牧骑兵</v>
      </c>
      <c r="D40" s="123">
        <f>VLOOKUP(B40,选手名单!A:I,6,0)</f>
        <v>40</v>
      </c>
      <c r="E40" s="123">
        <f>VLOOKUP(B40,选手名单!A:I,3,0)</f>
        <v>351772086</v>
      </c>
      <c r="F40" s="123">
        <f>VLOOKUP(B40,选手名单!A:I,5,0)</f>
        <v>3000</v>
      </c>
      <c r="G40" s="128" t="str">
        <f>VLOOKUP(B40,选手名单!A:I,7,0)</f>
        <v>三,四,五</v>
      </c>
      <c r="H40" s="128"/>
      <c r="X40" s="136" t="s">
        <v>150</v>
      </c>
      <c r="Y40" s="58"/>
      <c r="Z40" s="58"/>
      <c r="AB40" s="58"/>
      <c r="AC40" s="60"/>
      <c r="AD40" s="41"/>
      <c r="AE40" s="101" t="s">
        <v>396</v>
      </c>
    </row>
    <row r="41" customHeight="1" spans="2:31">
      <c r="B41" s="123">
        <v>14</v>
      </c>
      <c r="C41" s="134" t="str">
        <f>VLOOKUP(B41,选手名单!A:I,2,0)</f>
        <v>小橙皮～</v>
      </c>
      <c r="D41" s="123">
        <f>VLOOKUP(B41,选手名单!A:I,6,0)</f>
        <v>41</v>
      </c>
      <c r="E41" s="123">
        <f>VLOOKUP(B41,选手名单!A:I,3,0)</f>
        <v>228914641</v>
      </c>
      <c r="F41" s="123">
        <f>VLOOKUP(B41,选手名单!A:I,5,0)</f>
        <v>4600</v>
      </c>
      <c r="G41" s="128" t="str">
        <f>VLOOKUP(B41,选手名单!A:I,7,0)</f>
        <v>四,五</v>
      </c>
      <c r="H41" s="128"/>
      <c r="X41" s="41"/>
      <c r="Y41" s="59"/>
      <c r="Z41" s="60"/>
      <c r="AB41" s="58"/>
      <c r="AC41" s="60"/>
      <c r="AD41" s="58"/>
      <c r="AE41" s="101" t="s">
        <v>174</v>
      </c>
    </row>
    <row r="42" customHeight="1" spans="24:30">
      <c r="X42" s="63" t="s">
        <v>784</v>
      </c>
      <c r="Y42" s="58"/>
      <c r="Z42" s="60"/>
      <c r="AA42" s="139" t="s">
        <v>776</v>
      </c>
      <c r="AB42" s="58"/>
      <c r="AC42" s="60"/>
      <c r="AD42" s="58"/>
    </row>
    <row r="43" customHeight="1" spans="25:30">
      <c r="Y43" s="58"/>
      <c r="Z43" s="62"/>
      <c r="AA43" s="41"/>
      <c r="AB43" s="59"/>
      <c r="AC43" s="58"/>
      <c r="AD43" s="58"/>
    </row>
    <row r="44" customHeight="1" spans="24:30">
      <c r="X44" s="55" t="s">
        <v>776</v>
      </c>
      <c r="Y44" s="58"/>
      <c r="Z44" s="60"/>
      <c r="AA44" s="1"/>
      <c r="AB44" s="58"/>
      <c r="AC44" s="58"/>
      <c r="AD44" s="58"/>
    </row>
    <row r="45" customHeight="1" spans="24:30">
      <c r="X45" s="41"/>
      <c r="Y45" s="59"/>
      <c r="Z45" s="58"/>
      <c r="AA45" s="1"/>
      <c r="AB45" s="58"/>
      <c r="AC45" s="58"/>
      <c r="AD45" s="58"/>
    </row>
  </sheetData>
  <mergeCells count="58">
    <mergeCell ref="I1:J1"/>
    <mergeCell ref="I2:J2"/>
    <mergeCell ref="K2:L2"/>
    <mergeCell ref="M2:N2"/>
    <mergeCell ref="O2:P2"/>
    <mergeCell ref="K3:L3"/>
    <mergeCell ref="O3:P3"/>
    <mergeCell ref="I9:J9"/>
    <mergeCell ref="K9:L9"/>
    <mergeCell ref="M9:N9"/>
    <mergeCell ref="O9:P9"/>
    <mergeCell ref="K10:L10"/>
    <mergeCell ref="O10:P10"/>
    <mergeCell ref="I16:J16"/>
    <mergeCell ref="K16:L16"/>
    <mergeCell ref="M16:N16"/>
    <mergeCell ref="O16:P16"/>
    <mergeCell ref="K17:L17"/>
    <mergeCell ref="O17:P17"/>
    <mergeCell ref="I23:J23"/>
    <mergeCell ref="K23:L23"/>
    <mergeCell ref="M23:N23"/>
    <mergeCell ref="O23:P23"/>
    <mergeCell ref="K24:L24"/>
    <mergeCell ref="O24:P24"/>
    <mergeCell ref="U2:U3"/>
    <mergeCell ref="U4:U5"/>
    <mergeCell ref="U6:U7"/>
    <mergeCell ref="U10:U11"/>
    <mergeCell ref="U12:U13"/>
    <mergeCell ref="U14:U15"/>
    <mergeCell ref="U17:U18"/>
    <mergeCell ref="U19:U20"/>
    <mergeCell ref="U21:U22"/>
    <mergeCell ref="U25:U26"/>
    <mergeCell ref="U27:U28"/>
    <mergeCell ref="U29:U30"/>
    <mergeCell ref="X4:X5"/>
    <mergeCell ref="X6:X11"/>
    <mergeCell ref="X12:X13"/>
    <mergeCell ref="X19:X20"/>
    <mergeCell ref="X21:X26"/>
    <mergeCell ref="X27:X28"/>
    <mergeCell ref="X32:X33"/>
    <mergeCell ref="X34:X35"/>
    <mergeCell ref="X36:X37"/>
    <mergeCell ref="X40:X41"/>
    <mergeCell ref="X42:X43"/>
    <mergeCell ref="X44:X45"/>
    <mergeCell ref="AA7:AA10"/>
    <mergeCell ref="AA11:AA21"/>
    <mergeCell ref="AA22:AA25"/>
    <mergeCell ref="AA34:AA35"/>
    <mergeCell ref="AA36:AA41"/>
    <mergeCell ref="AA42:AA43"/>
    <mergeCell ref="AD13:AD17"/>
    <mergeCell ref="AD37:AD40"/>
    <mergeCell ref="V32:W45"/>
  </mergeCells>
  <conditionalFormatting sqref="D1:D1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.12内战"/>
  <dimension ref="A1:Y42"/>
  <sheetViews>
    <sheetView workbookViewId="0">
      <selection activeCell="A1" sqref="A1"/>
    </sheetView>
  </sheetViews>
  <sheetFormatPr defaultColWidth="14" defaultRowHeight="18" customHeight="1"/>
  <cols>
    <col min="1" max="2" width="13.671875" style="119"/>
    <col min="9" max="9" width="4.1796875" customWidth="1"/>
    <col min="14" max="14" width="2.6953125" customWidth="1"/>
    <col min="16" max="17" width="2.6953125" customWidth="1"/>
    <col min="19" max="20" width="2.6953125" customWidth="1"/>
    <col min="22" max="23" width="2.6953125" customWidth="1"/>
  </cols>
  <sheetData>
    <row r="1" customHeight="1" spans="1:8">
      <c r="A1" s="120"/>
      <c r="B1" s="121" t="s">
        <v>720</v>
      </c>
      <c r="C1" s="84" t="s">
        <v>270</v>
      </c>
      <c r="D1" s="84" t="s">
        <v>721</v>
      </c>
      <c r="E1" s="84" t="s">
        <v>271</v>
      </c>
      <c r="F1" s="84" t="s">
        <v>722</v>
      </c>
      <c r="G1" s="84" t="s">
        <v>226</v>
      </c>
      <c r="H1" s="84" t="s">
        <v>723</v>
      </c>
    </row>
    <row r="2" customHeight="1" spans="1:21">
      <c r="A2" s="122"/>
      <c r="B2" s="123">
        <v>1</v>
      </c>
      <c r="C2" s="124" t="str">
        <f>VLOOKUP(B2,选手名单!A:I,2,0)</f>
        <v>笑败</v>
      </c>
      <c r="D2" s="123">
        <f>VLOOKUP(B2,选手名单!A:I,6,0)</f>
        <v>84</v>
      </c>
      <c r="E2" s="123">
        <f>VLOOKUP(B2,选手名单!A:I,3,0)</f>
        <v>106964785</v>
      </c>
      <c r="F2" s="123">
        <f>VLOOKUP(B2,选手名单!A:I,5,0)</f>
        <v>8330</v>
      </c>
      <c r="G2" s="128" t="str">
        <f>VLOOKUP(B2,选手名单!A:I,7,0)</f>
        <v>一</v>
      </c>
      <c r="H2" s="128"/>
      <c r="J2" s="19" t="s">
        <v>785</v>
      </c>
      <c r="K2" s="20"/>
      <c r="L2" s="36" t="s">
        <v>786</v>
      </c>
      <c r="M2" s="37"/>
      <c r="O2" s="38" t="s">
        <v>785</v>
      </c>
      <c r="P2" s="58"/>
      <c r="Q2" s="58"/>
      <c r="R2" s="1"/>
      <c r="S2" s="58"/>
      <c r="T2" s="58"/>
      <c r="U2" s="58"/>
    </row>
    <row r="3" customHeight="1" spans="1:21">
      <c r="A3" s="122"/>
      <c r="B3" s="123">
        <v>11</v>
      </c>
      <c r="C3" s="124" t="str">
        <f>VLOOKUP(B3,选手名单!A:I,2,0)</f>
        <v>iceice</v>
      </c>
      <c r="D3" s="123">
        <f>VLOOKUP(B3,选手名单!A:I,6,0)</f>
        <v>45</v>
      </c>
      <c r="E3" s="123">
        <f>VLOOKUP(B3,选手名单!A:I,3,0)</f>
        <v>0</v>
      </c>
      <c r="F3" s="123">
        <f>VLOOKUP(B3,选手名单!A:I,5,0)</f>
        <v>5500</v>
      </c>
      <c r="G3" s="128" t="str">
        <f>VLOOKUP(B3,选手名单!A:I,7,0)</f>
        <v>四,五</v>
      </c>
      <c r="H3" s="128"/>
      <c r="J3" s="21" t="s">
        <v>567</v>
      </c>
      <c r="K3" s="22">
        <v>25</v>
      </c>
      <c r="L3" s="39" t="s">
        <v>453</v>
      </c>
      <c r="M3" s="40">
        <v>42</v>
      </c>
      <c r="O3" s="41"/>
      <c r="P3" s="59"/>
      <c r="Q3" s="60"/>
      <c r="R3" s="51"/>
      <c r="S3" s="58"/>
      <c r="T3" s="58"/>
      <c r="U3" s="58"/>
    </row>
    <row r="4" customHeight="1" spans="1:21">
      <c r="A4" s="122"/>
      <c r="B4" s="123">
        <v>23</v>
      </c>
      <c r="C4" s="125" t="str">
        <f>VLOOKUP(B4,选手名单!A:I,2,0)</f>
        <v>辞</v>
      </c>
      <c r="D4" s="123">
        <f>VLOOKUP(B4,选手名单!A:I,6,0)</f>
        <v>88</v>
      </c>
      <c r="E4" s="123">
        <f>VLOOKUP(B4,选手名单!A:I,3,0)</f>
        <v>417861014</v>
      </c>
      <c r="F4" s="123">
        <f>VLOOKUP(B4,选手名单!A:I,5,0)</f>
        <v>8300</v>
      </c>
      <c r="G4" s="128" t="str">
        <f>VLOOKUP(B4,选手名单!A:I,7,0)</f>
        <v>一,二</v>
      </c>
      <c r="H4" s="129"/>
      <c r="J4" s="23" t="s">
        <v>83</v>
      </c>
      <c r="K4" s="24">
        <v>95</v>
      </c>
      <c r="L4" s="39" t="s">
        <v>322</v>
      </c>
      <c r="M4" s="40">
        <v>75</v>
      </c>
      <c r="O4" s="42" t="s">
        <v>787</v>
      </c>
      <c r="P4" s="58"/>
      <c r="Q4" s="60"/>
      <c r="R4" s="61" t="s">
        <v>495</v>
      </c>
      <c r="S4" s="58"/>
      <c r="T4" s="58"/>
      <c r="U4" s="58"/>
    </row>
    <row r="5" customHeight="1" spans="1:21">
      <c r="A5" s="122"/>
      <c r="B5" s="123">
        <v>31</v>
      </c>
      <c r="C5" s="124" t="str">
        <f>VLOOKUP(B5,选手名单!A:I,2,0)</f>
        <v>老K</v>
      </c>
      <c r="D5" s="123">
        <f>VLOOKUP(B5,选手名单!A:I,6,0)</f>
        <v>40</v>
      </c>
      <c r="E5" s="123">
        <f>VLOOKUP(B5,选手名单!A:I,3,0)</f>
        <v>148343069</v>
      </c>
      <c r="F5" s="123">
        <f>VLOOKUP(B5,选手名单!A:I,5,0)</f>
        <v>4000</v>
      </c>
      <c r="G5" s="128" t="str">
        <f>VLOOKUP(B5,选手名单!A:I,7,0)</f>
        <v>二,四,五</v>
      </c>
      <c r="H5" s="128"/>
      <c r="J5" s="23" t="s">
        <v>330</v>
      </c>
      <c r="K5" s="24">
        <v>65</v>
      </c>
      <c r="L5" s="39" t="s">
        <v>131</v>
      </c>
      <c r="M5" s="40">
        <v>85</v>
      </c>
      <c r="P5" s="58"/>
      <c r="Q5" s="62"/>
      <c r="R5" s="41"/>
      <c r="S5" s="59"/>
      <c r="T5" s="60"/>
      <c r="U5" s="63"/>
    </row>
    <row r="6" customHeight="1" spans="1:21">
      <c r="A6" s="122"/>
      <c r="B6" s="123">
        <v>24</v>
      </c>
      <c r="C6" s="124" t="str">
        <f>VLOOKUP(B6,选手名单!A:I,2,0)</f>
        <v>雲天河</v>
      </c>
      <c r="D6" s="123">
        <f>VLOOKUP(B6,选手名单!A:I,6,0)</f>
        <v>76</v>
      </c>
      <c r="E6" s="123">
        <f>VLOOKUP(B6,选手名单!A:I,3,0)</f>
        <v>267719332</v>
      </c>
      <c r="F6" s="123">
        <f>VLOOKUP(B6,选手名单!A:I,5,0)</f>
        <v>6500</v>
      </c>
      <c r="G6" s="128" t="str">
        <f>VLOOKUP(B6,选手名单!A:I,7,0)</f>
        <v>二,四,五</v>
      </c>
      <c r="H6" s="129"/>
      <c r="J6" s="23" t="s">
        <v>346</v>
      </c>
      <c r="K6" s="24">
        <v>70</v>
      </c>
      <c r="L6" s="39" t="s">
        <v>396</v>
      </c>
      <c r="M6" s="40">
        <v>58</v>
      </c>
      <c r="O6" s="45" t="s">
        <v>788</v>
      </c>
      <c r="P6" s="58"/>
      <c r="Q6" s="60"/>
      <c r="R6" s="42" t="s">
        <v>787</v>
      </c>
      <c r="S6" s="58"/>
      <c r="T6" s="60"/>
      <c r="U6" s="1"/>
    </row>
    <row r="7" customHeight="1" spans="1:21">
      <c r="A7" s="122"/>
      <c r="B7" s="123">
        <v>3</v>
      </c>
      <c r="C7" s="124" t="str">
        <f>VLOOKUP(B7,选手名单!A:I,2,0)</f>
        <v>睡衣大大</v>
      </c>
      <c r="D7" s="123">
        <f>VLOOKUP(B7,选手名单!A:I,6,0)</f>
        <v>63</v>
      </c>
      <c r="E7" s="123">
        <f>VLOOKUP(B7,选手名单!A:I,3,0)</f>
        <v>104465635</v>
      </c>
      <c r="F7" s="123">
        <f>VLOOKUP(B7,选手名单!A:I,5,0)</f>
        <v>6000</v>
      </c>
      <c r="G7" s="128" t="str">
        <f>VLOOKUP(B7,选手名单!A:I,7,0)</f>
        <v>一,二</v>
      </c>
      <c r="H7" s="129"/>
      <c r="J7" s="117" t="s">
        <v>124</v>
      </c>
      <c r="K7" s="118">
        <v>48</v>
      </c>
      <c r="L7" s="46" t="s">
        <v>162</v>
      </c>
      <c r="M7" s="47">
        <v>50</v>
      </c>
      <c r="O7" s="41"/>
      <c r="P7" s="59"/>
      <c r="Q7" s="58"/>
      <c r="S7" s="58"/>
      <c r="T7" s="60"/>
      <c r="U7" s="61" t="s">
        <v>495</v>
      </c>
    </row>
    <row r="8" customHeight="1" spans="1:21">
      <c r="A8" s="122"/>
      <c r="B8" s="123">
        <v>34</v>
      </c>
      <c r="C8" s="125" t="str">
        <f>VLOOKUP(B8,选手名单!A:I,2,0)</f>
        <v>精品贵公子</v>
      </c>
      <c r="D8" s="123">
        <f>VLOOKUP(B8,选手名单!A:I,6,0)</f>
        <v>83</v>
      </c>
      <c r="E8" s="123">
        <f>VLOOKUP(B8,选手名单!A:I,3,0)</f>
        <v>0</v>
      </c>
      <c r="F8" s="123">
        <f>VLOOKUP(B8,选手名单!A:I,5,0)</f>
        <v>8600</v>
      </c>
      <c r="G8" s="128" t="str">
        <f>VLOOKUP(B8,选手名单!A:I,7,0)</f>
        <v>一,三</v>
      </c>
      <c r="H8" s="129"/>
      <c r="J8" s="27" t="s">
        <v>789</v>
      </c>
      <c r="K8" s="28">
        <f>SUM(K3:K7)</f>
        <v>303</v>
      </c>
      <c r="L8" s="48" t="s">
        <v>789</v>
      </c>
      <c r="M8" s="47">
        <f>SUM(M3:M7)</f>
        <v>310</v>
      </c>
      <c r="O8" s="49"/>
      <c r="P8" s="49"/>
      <c r="Q8" s="49"/>
      <c r="S8" s="58"/>
      <c r="T8" s="60"/>
      <c r="U8" s="41"/>
    </row>
    <row r="9" customHeight="1" spans="1:22">
      <c r="A9" s="122"/>
      <c r="B9" s="123">
        <v>36</v>
      </c>
      <c r="C9" s="125" t="e">
        <f>VLOOKUP(B9,选手名单!A:I,2,0)</f>
        <v>#N/A</v>
      </c>
      <c r="D9" s="123" t="e">
        <f>VLOOKUP(B9,选手名单!A:I,6,0)</f>
        <v>#N/A</v>
      </c>
      <c r="E9" s="123" t="e">
        <f>VLOOKUP(B9,选手名单!A:I,3,0)</f>
        <v>#N/A</v>
      </c>
      <c r="F9" s="123" t="e">
        <f>VLOOKUP(B9,选手名单!A:I,5,0)</f>
        <v>#N/A</v>
      </c>
      <c r="G9" s="128" t="e">
        <f>VLOOKUP(B9,选手名单!A:I,7,0)</f>
        <v>#N/A</v>
      </c>
      <c r="H9" s="128"/>
      <c r="J9" s="29" t="s">
        <v>790</v>
      </c>
      <c r="K9" s="20"/>
      <c r="L9" s="50" t="s">
        <v>791</v>
      </c>
      <c r="M9" s="37"/>
      <c r="O9" s="51"/>
      <c r="P9" s="58"/>
      <c r="Q9" s="58"/>
      <c r="S9" s="58"/>
      <c r="T9" s="62"/>
      <c r="U9" s="41"/>
      <c r="V9" s="80"/>
    </row>
    <row r="10" customHeight="1" spans="1:22">
      <c r="A10" s="122"/>
      <c r="B10" s="123">
        <v>14</v>
      </c>
      <c r="C10" s="124" t="str">
        <f>VLOOKUP(B10,选手名单!A:I,2,0)</f>
        <v>小橙皮～</v>
      </c>
      <c r="D10" s="123">
        <f>VLOOKUP(B10,选手名单!A:I,6,0)</f>
        <v>41</v>
      </c>
      <c r="E10" s="123">
        <f>VLOOKUP(B10,选手名单!A:I,3,0)</f>
        <v>228914641</v>
      </c>
      <c r="F10" s="123">
        <f>VLOOKUP(B10,选手名单!A:I,5,0)</f>
        <v>4600</v>
      </c>
      <c r="G10" s="128" t="str">
        <f>VLOOKUP(B10,选手名单!A:I,7,0)</f>
        <v>四,五</v>
      </c>
      <c r="H10" s="128"/>
      <c r="J10" s="30" t="s">
        <v>143</v>
      </c>
      <c r="K10" s="31">
        <v>26</v>
      </c>
      <c r="L10" s="52" t="s">
        <v>94</v>
      </c>
      <c r="M10" s="53">
        <v>32</v>
      </c>
      <c r="O10" s="54" t="s">
        <v>790</v>
      </c>
      <c r="P10" s="58"/>
      <c r="Q10" s="58"/>
      <c r="S10" s="58"/>
      <c r="T10" s="60"/>
      <c r="U10" s="41"/>
      <c r="V10" s="81"/>
    </row>
    <row r="11" customHeight="1" spans="1:22">
      <c r="A11" s="122"/>
      <c r="B11" s="123">
        <v>18</v>
      </c>
      <c r="C11" s="125" t="str">
        <f>VLOOKUP(B11,选手名单!A:I,2,0)</f>
        <v>王亚祈</v>
      </c>
      <c r="D11" s="123">
        <f>VLOOKUP(B11,选手名单!A:I,6,0)</f>
        <v>55</v>
      </c>
      <c r="E11" s="123">
        <f>VLOOKUP(B11,选手名单!A:I,3,0)</f>
        <v>417868870</v>
      </c>
      <c r="F11" s="123">
        <f>VLOOKUP(B11,选手名单!A:I,5,0)</f>
        <v>5500</v>
      </c>
      <c r="G11" s="128" t="str">
        <f>VLOOKUP(B11,选手名单!A:I,7,0)</f>
        <v>一,四,五</v>
      </c>
      <c r="H11" s="128"/>
      <c r="J11" s="30" t="s">
        <v>138</v>
      </c>
      <c r="K11" s="31">
        <v>89</v>
      </c>
      <c r="L11" s="52" t="s">
        <v>80</v>
      </c>
      <c r="M11" s="53">
        <v>88</v>
      </c>
      <c r="O11" s="41"/>
      <c r="P11" s="59"/>
      <c r="Q11" s="60"/>
      <c r="S11" s="58"/>
      <c r="T11" s="60"/>
      <c r="U11" s="58"/>
      <c r="V11" s="81"/>
    </row>
    <row r="12" customHeight="1" spans="1:24">
      <c r="A12" s="126"/>
      <c r="B12" s="123">
        <v>6</v>
      </c>
      <c r="C12" s="125" t="str">
        <f>VLOOKUP(B12,选手名单!A:I,2,0)</f>
        <v>jose</v>
      </c>
      <c r="D12" s="123">
        <f>VLOOKUP(B12,选手名单!A:I,6,0)</f>
        <v>59</v>
      </c>
      <c r="E12" s="123">
        <f>VLOOKUP(B12,选手名单!A:I,3,0)</f>
        <v>1255409177</v>
      </c>
      <c r="F12" s="123">
        <f>VLOOKUP(B12,选手名单!A:I,5,0)</f>
        <v>6200</v>
      </c>
      <c r="G12" s="128" t="str">
        <f>VLOOKUP(B12,选手名单!A:I,7,0)</f>
        <v>三</v>
      </c>
      <c r="H12" s="129"/>
      <c r="J12" s="30" t="s">
        <v>354</v>
      </c>
      <c r="K12" s="31">
        <v>68</v>
      </c>
      <c r="L12" s="52" t="s">
        <v>250</v>
      </c>
      <c r="M12" s="53">
        <v>65</v>
      </c>
      <c r="O12" s="42" t="s">
        <v>787</v>
      </c>
      <c r="P12" s="58"/>
      <c r="Q12" s="60"/>
      <c r="R12" s="61" t="s">
        <v>453</v>
      </c>
      <c r="S12" s="58"/>
      <c r="T12" s="60"/>
      <c r="U12" s="58"/>
      <c r="V12" s="81"/>
      <c r="X12" s="3"/>
    </row>
    <row r="13" customHeight="1" spans="1:25">
      <c r="A13" s="122"/>
      <c r="B13" s="123">
        <v>35</v>
      </c>
      <c r="C13" s="125" t="str">
        <f>VLOOKUP(B13,选手名单!A:I,2,0)</f>
        <v>宇文成都</v>
      </c>
      <c r="D13" s="123">
        <f>VLOOKUP(B13,选手名单!A:I,6,0)</f>
        <v>55</v>
      </c>
      <c r="E13" s="123">
        <f>VLOOKUP(B13,选手名单!A:I,3,0)</f>
        <v>136662507</v>
      </c>
      <c r="F13" s="123">
        <f>VLOOKUP(B13,选手名单!A:I,5,0)</f>
        <v>5800</v>
      </c>
      <c r="G13" s="128" t="str">
        <f>VLOOKUP(B13,选手名单!A:I,7,0)</f>
        <v>三,四</v>
      </c>
      <c r="H13" s="128"/>
      <c r="J13" s="30" t="s">
        <v>365</v>
      </c>
      <c r="K13" s="31">
        <v>65</v>
      </c>
      <c r="L13" s="52" t="s">
        <v>618</v>
      </c>
      <c r="M13" s="53">
        <v>90</v>
      </c>
      <c r="P13" s="58"/>
      <c r="Q13" s="62"/>
      <c r="R13" s="41"/>
      <c r="S13" s="59"/>
      <c r="T13" s="58"/>
      <c r="U13" s="58"/>
      <c r="V13" s="81"/>
      <c r="X13" s="77" t="s">
        <v>113</v>
      </c>
      <c r="Y13" s="52" t="s">
        <v>113</v>
      </c>
    </row>
    <row r="14" customHeight="1" spans="1:25">
      <c r="A14" s="122"/>
      <c r="B14" s="123">
        <v>9</v>
      </c>
      <c r="C14" s="125" t="str">
        <f>VLOOKUP(B14,选手名单!A:I,2,0)</f>
        <v>starling</v>
      </c>
      <c r="D14" s="123">
        <f>VLOOKUP(B14,选手名单!A:I,6,0)</f>
        <v>34</v>
      </c>
      <c r="E14" s="123">
        <f>VLOOKUP(B14,选手名单!A:I,3,0)</f>
        <v>400294058</v>
      </c>
      <c r="F14" s="123">
        <f>VLOOKUP(B14,选手名单!A:I,5,0)</f>
        <v>4000</v>
      </c>
      <c r="G14" s="128" t="str">
        <f>VLOOKUP(B14,选手名单!A:I,7,0)</f>
        <v>四,五</v>
      </c>
      <c r="H14" s="128"/>
      <c r="J14" s="30" t="s">
        <v>360</v>
      </c>
      <c r="K14" s="31">
        <v>62</v>
      </c>
      <c r="L14" s="52" t="s">
        <v>420</v>
      </c>
      <c r="M14" s="53">
        <v>58</v>
      </c>
      <c r="O14" s="55" t="s">
        <v>786</v>
      </c>
      <c r="P14" s="58"/>
      <c r="Q14" s="60"/>
      <c r="R14" s="1"/>
      <c r="S14" s="58"/>
      <c r="T14" s="58"/>
      <c r="U14" s="58"/>
      <c r="V14" s="81"/>
      <c r="X14" s="105"/>
      <c r="Y14" s="52" t="s">
        <v>107</v>
      </c>
    </row>
    <row r="15" customHeight="1" spans="1:25">
      <c r="A15" s="122"/>
      <c r="B15" s="123">
        <v>16</v>
      </c>
      <c r="C15" s="125" t="str">
        <f>VLOOKUP(B15,选手名单!A:I,2,0)</f>
        <v>你也喜欢河马嘛</v>
      </c>
      <c r="D15" s="123">
        <f>VLOOKUP(B15,选手名单!A:I,6,0)</f>
        <v>53</v>
      </c>
      <c r="E15" s="123">
        <f>VLOOKUP(B15,选手名单!A:I,3,0)</f>
        <v>189497913</v>
      </c>
      <c r="F15" s="123">
        <f>VLOOKUP(B15,选手名单!A:I,5,0)</f>
        <v>5300</v>
      </c>
      <c r="G15" s="128" t="str">
        <f>VLOOKUP(B15,选手名单!A:I,7,0)</f>
        <v>一,二,三,四,五</v>
      </c>
      <c r="H15" s="128"/>
      <c r="J15" s="32" t="s">
        <v>789</v>
      </c>
      <c r="K15" s="33">
        <f>SUM(K10:K14)</f>
        <v>310</v>
      </c>
      <c r="L15" s="56" t="s">
        <v>789</v>
      </c>
      <c r="M15" s="57">
        <f>SUM(M10:M14)</f>
        <v>333</v>
      </c>
      <c r="O15" s="41"/>
      <c r="P15" s="59"/>
      <c r="Q15" s="58"/>
      <c r="R15" s="1"/>
      <c r="S15" s="58"/>
      <c r="T15" s="58"/>
      <c r="U15" s="58"/>
      <c r="V15" s="81"/>
      <c r="W15" t="s">
        <v>745</v>
      </c>
      <c r="X15" s="105"/>
      <c r="Y15" s="52" t="s">
        <v>104</v>
      </c>
    </row>
    <row r="16" customHeight="1" spans="1:25">
      <c r="A16" s="122"/>
      <c r="B16" s="123">
        <v>40</v>
      </c>
      <c r="C16" s="125" t="e">
        <f>VLOOKUP(B16,选手名单!A:I,2,0)</f>
        <v>#N/A</v>
      </c>
      <c r="D16" s="123" t="e">
        <f>VLOOKUP(B16,选手名单!A:I,6,0)</f>
        <v>#N/A</v>
      </c>
      <c r="E16" s="123" t="e">
        <f>VLOOKUP(B16,选手名单!A:I,3,0)</f>
        <v>#N/A</v>
      </c>
      <c r="F16" s="123" t="e">
        <f>VLOOKUP(B16,选手名单!A:I,5,0)</f>
        <v>#N/A</v>
      </c>
      <c r="G16" s="128" t="e">
        <f>VLOOKUP(B16,选手名单!A:I,7,0)</f>
        <v>#N/A</v>
      </c>
      <c r="H16" s="128"/>
      <c r="J16" s="19" t="s">
        <v>792</v>
      </c>
      <c r="K16" s="20"/>
      <c r="L16" s="36" t="s">
        <v>788</v>
      </c>
      <c r="M16" s="37"/>
      <c r="V16" s="81"/>
      <c r="X16" s="105"/>
      <c r="Y16" s="52" t="s">
        <v>550</v>
      </c>
    </row>
    <row r="17" customHeight="1" spans="1:25">
      <c r="A17" s="122"/>
      <c r="B17" s="123">
        <v>25</v>
      </c>
      <c r="C17" s="125" t="str">
        <f>VLOOKUP(B17,选手名单!A:I,2,0)</f>
        <v>iqbs</v>
      </c>
      <c r="D17" s="123">
        <f>VLOOKUP(B17,选手名单!A:I,6,0)</f>
        <v>77</v>
      </c>
      <c r="E17" s="123">
        <f>VLOOKUP(B17,选手名单!A:I,3,0)</f>
        <v>383560624</v>
      </c>
      <c r="F17" s="123">
        <f>VLOOKUP(B17,选手名单!A:I,5,0)</f>
        <v>7700</v>
      </c>
      <c r="G17" s="128" t="str">
        <f>VLOOKUP(B17,选手名单!A:I,7,0)</f>
        <v>四,五,三</v>
      </c>
      <c r="H17" s="129"/>
      <c r="J17" s="21" t="s">
        <v>532</v>
      </c>
      <c r="K17" s="22">
        <v>38</v>
      </c>
      <c r="L17" s="39" t="s">
        <v>495</v>
      </c>
      <c r="M17" s="40">
        <v>40</v>
      </c>
      <c r="O17" s="38" t="s">
        <v>791</v>
      </c>
      <c r="P17" s="58"/>
      <c r="Q17" s="58"/>
      <c r="R17" s="1"/>
      <c r="S17" s="58"/>
      <c r="T17" s="58"/>
      <c r="U17" s="58"/>
      <c r="V17" s="81"/>
      <c r="X17" s="106"/>
      <c r="Y17" s="52" t="s">
        <v>99</v>
      </c>
    </row>
    <row r="18" customHeight="1" spans="1:22">
      <c r="A18" s="122"/>
      <c r="B18" s="123">
        <v>2</v>
      </c>
      <c r="C18" s="125" t="str">
        <f>VLOOKUP(B18,选手名单!A:I,2,0)</f>
        <v>一颗大白菜</v>
      </c>
      <c r="D18" s="123">
        <f>VLOOKUP(B18,选手名单!A:I,6,0)</f>
        <v>75</v>
      </c>
      <c r="E18" s="123">
        <f>VLOOKUP(B18,选手名单!A:I,3,0)</f>
        <v>186753076</v>
      </c>
      <c r="F18" s="123">
        <f>VLOOKUP(B18,选手名单!A:I,5,0)</f>
        <v>7500</v>
      </c>
      <c r="G18" s="128" t="str">
        <f>VLOOKUP(B18,选手名单!A:I,7,0)</f>
        <v>一,二,三</v>
      </c>
      <c r="H18" s="128"/>
      <c r="J18" s="23">
        <v>21</v>
      </c>
      <c r="K18" s="24">
        <v>65</v>
      </c>
      <c r="L18" s="39" t="s">
        <v>619</v>
      </c>
      <c r="M18" s="40">
        <v>88</v>
      </c>
      <c r="O18" s="41"/>
      <c r="P18" s="59"/>
      <c r="Q18" s="60"/>
      <c r="R18" s="51"/>
      <c r="S18" s="58"/>
      <c r="T18" s="58"/>
      <c r="U18" s="58"/>
      <c r="V18" s="81"/>
    </row>
    <row r="19" customHeight="1" spans="1:22">
      <c r="A19" s="122"/>
      <c r="B19" s="123">
        <v>10</v>
      </c>
      <c r="C19" s="125" t="str">
        <f>VLOOKUP(B19,选手名单!A:I,2,0)</f>
        <v>阿魂呐</v>
      </c>
      <c r="D19" s="123">
        <f>VLOOKUP(B19,选手名单!A:I,6,0)</f>
        <v>81</v>
      </c>
      <c r="E19" s="123">
        <f>VLOOKUP(B19,选手名单!A:I,3,0)</f>
        <v>138558413</v>
      </c>
      <c r="F19" s="123">
        <f>VLOOKUP(B19,选手名单!A:I,5,0)</f>
        <v>7500</v>
      </c>
      <c r="G19" s="128" t="str">
        <f>VLOOKUP(B19,选手名单!A:I,7,0)</f>
        <v>二</v>
      </c>
      <c r="H19" s="128"/>
      <c r="J19" s="23" t="s">
        <v>118</v>
      </c>
      <c r="K19" s="24">
        <v>62</v>
      </c>
      <c r="L19" s="39" t="s">
        <v>611</v>
      </c>
      <c r="M19" s="40">
        <v>85</v>
      </c>
      <c r="O19" s="42" t="s">
        <v>787</v>
      </c>
      <c r="P19" s="58"/>
      <c r="Q19" s="60"/>
      <c r="R19" s="61" t="s">
        <v>793</v>
      </c>
      <c r="S19" s="58"/>
      <c r="T19" s="58"/>
      <c r="U19" s="58"/>
      <c r="V19" s="81"/>
    </row>
    <row r="20" customHeight="1" spans="1:22">
      <c r="A20" s="122"/>
      <c r="B20" s="123">
        <v>38</v>
      </c>
      <c r="C20" s="125" t="e">
        <f>VLOOKUP(B20,选手名单!A:I,2,0)</f>
        <v>#N/A</v>
      </c>
      <c r="D20" s="123" t="e">
        <f>VLOOKUP(B20,选手名单!A:I,6,0)</f>
        <v>#N/A</v>
      </c>
      <c r="E20" s="123" t="e">
        <f>VLOOKUP(B20,选手名单!A:I,3,0)</f>
        <v>#N/A</v>
      </c>
      <c r="F20" s="123" t="e">
        <f>VLOOKUP(B20,选手名单!A:I,5,0)</f>
        <v>#N/A</v>
      </c>
      <c r="G20" s="128" t="e">
        <f>VLOOKUP(B20,选手名单!A:I,7,0)</f>
        <v>#N/A</v>
      </c>
      <c r="H20" s="129"/>
      <c r="J20" s="23" t="s">
        <v>87</v>
      </c>
      <c r="K20" s="24">
        <v>75</v>
      </c>
      <c r="L20" s="39" t="s">
        <v>318</v>
      </c>
      <c r="M20" s="40">
        <v>70</v>
      </c>
      <c r="P20" s="58"/>
      <c r="Q20" s="62"/>
      <c r="R20" s="41"/>
      <c r="S20" s="59"/>
      <c r="T20" s="60"/>
      <c r="U20" s="63"/>
      <c r="V20" s="81"/>
    </row>
    <row r="21" customHeight="1" spans="1:22">
      <c r="A21" s="122"/>
      <c r="B21" s="123">
        <v>7</v>
      </c>
      <c r="C21" s="125" t="str">
        <f>VLOOKUP(B21,选手名单!A:I,2,0)</f>
        <v>大蟑螂</v>
      </c>
      <c r="D21" s="123">
        <f>VLOOKUP(B21,选手名单!A:I,6,0)</f>
        <v>87</v>
      </c>
      <c r="E21" s="123">
        <f>VLOOKUP(B21,选手名单!A:I,3,0)</f>
        <v>341670770</v>
      </c>
      <c r="F21" s="123">
        <f>VLOOKUP(B21,选手名单!A:I,5,0)</f>
        <v>9000</v>
      </c>
      <c r="G21" s="128" t="str">
        <f>VLOOKUP(B21,选手名单!A:I,7,0)</f>
        <v>二</v>
      </c>
      <c r="H21" s="128"/>
      <c r="J21" s="117" t="s">
        <v>370</v>
      </c>
      <c r="K21" s="118">
        <v>64</v>
      </c>
      <c r="L21" s="46" t="s">
        <v>388</v>
      </c>
      <c r="M21" s="47">
        <v>50</v>
      </c>
      <c r="O21" s="45" t="s">
        <v>794</v>
      </c>
      <c r="P21" s="58"/>
      <c r="Q21" s="60"/>
      <c r="R21" s="42" t="s">
        <v>787</v>
      </c>
      <c r="S21" s="58"/>
      <c r="T21" s="60"/>
      <c r="U21" s="1"/>
      <c r="V21" s="81"/>
    </row>
    <row r="22" customHeight="1" spans="1:22">
      <c r="A22" s="122"/>
      <c r="B22" s="123">
        <v>8</v>
      </c>
      <c r="C22" s="125" t="str">
        <f>VLOOKUP(B22,选手名单!A:I,2,0)</f>
        <v>。。~</v>
      </c>
      <c r="D22" s="123">
        <f>VLOOKUP(B22,选手名单!A:I,6,0)</f>
        <v>50</v>
      </c>
      <c r="E22" s="123">
        <f>VLOOKUP(B22,选手名单!A:I,3,0)</f>
        <v>136537289</v>
      </c>
      <c r="F22" s="123">
        <f>VLOOKUP(B22,选手名单!A:I,5,0)</f>
        <v>5000</v>
      </c>
      <c r="G22" s="128" t="str">
        <f>VLOOKUP(B22,选手名单!A:I,7,0)</f>
        <v>一,二,三,四</v>
      </c>
      <c r="H22" s="128"/>
      <c r="J22" s="27" t="s">
        <v>789</v>
      </c>
      <c r="K22" s="28">
        <f>SUM(K17:K21)</f>
        <v>304</v>
      </c>
      <c r="L22" s="48" t="s">
        <v>789</v>
      </c>
      <c r="M22" s="47">
        <f>SUM(M17:M21)</f>
        <v>333</v>
      </c>
      <c r="O22" s="41"/>
      <c r="P22" s="59"/>
      <c r="Q22" s="58"/>
      <c r="S22" s="58"/>
      <c r="T22" s="60"/>
      <c r="U22" s="61" t="s">
        <v>113</v>
      </c>
      <c r="V22" s="81"/>
    </row>
    <row r="23" customHeight="1" spans="1:22">
      <c r="A23" s="122"/>
      <c r="B23" s="123">
        <v>26</v>
      </c>
      <c r="C23" s="125" t="str">
        <f>VLOOKUP(B23,选手名单!A:I,2,0)</f>
        <v>小牛</v>
      </c>
      <c r="D23" s="123">
        <f>VLOOKUP(B23,选手名单!A:I,6,0)</f>
        <v>75</v>
      </c>
      <c r="E23" s="123">
        <f>VLOOKUP(B23,选手名单!A:I,3,0)</f>
        <v>1259908216</v>
      </c>
      <c r="F23" s="123">
        <f>VLOOKUP(B23,选手名单!A:I,5,0)</f>
        <v>7500</v>
      </c>
      <c r="G23" s="128" t="str">
        <f>VLOOKUP(B23,选手名单!A:I,7,0)</f>
        <v>二</v>
      </c>
      <c r="H23" s="128"/>
      <c r="J23" s="29" t="s">
        <v>794</v>
      </c>
      <c r="K23" s="20"/>
      <c r="L23" s="50" t="s">
        <v>795</v>
      </c>
      <c r="M23" s="37"/>
      <c r="O23" s="49"/>
      <c r="P23" s="49"/>
      <c r="Q23" s="49"/>
      <c r="S23" s="58"/>
      <c r="T23" s="60"/>
      <c r="U23" s="41"/>
      <c r="V23" s="83"/>
    </row>
    <row r="24" customHeight="1" spans="1:21">
      <c r="A24" s="122"/>
      <c r="B24" s="123">
        <v>42</v>
      </c>
      <c r="C24" s="125" t="e">
        <f>VLOOKUP(B24,选手名单!A:I,2,0)</f>
        <v>#N/A</v>
      </c>
      <c r="D24" s="123" t="e">
        <f>VLOOKUP(B24,选手名单!A:I,6,0)</f>
        <v>#N/A</v>
      </c>
      <c r="E24" s="123" t="e">
        <f>VLOOKUP(B24,选手名单!A:I,3,0)</f>
        <v>#N/A</v>
      </c>
      <c r="F24" s="123" t="e">
        <f>VLOOKUP(B24,选手名单!A:I,5,0)</f>
        <v>#N/A</v>
      </c>
      <c r="G24" s="128" t="e">
        <f>VLOOKUP(B24,选手名单!A:I,7,0)</f>
        <v>#N/A</v>
      </c>
      <c r="H24" s="128"/>
      <c r="J24" s="30" t="s">
        <v>474</v>
      </c>
      <c r="K24" s="31">
        <v>43</v>
      </c>
      <c r="L24" s="52" t="s">
        <v>113</v>
      </c>
      <c r="M24" s="53">
        <v>68</v>
      </c>
      <c r="O24" s="51"/>
      <c r="P24" s="58"/>
      <c r="Q24" s="58"/>
      <c r="S24" s="58"/>
      <c r="T24" s="62"/>
      <c r="U24" s="41"/>
    </row>
    <row r="25" customHeight="1" spans="1:21">
      <c r="A25" s="122"/>
      <c r="B25" s="123">
        <v>32</v>
      </c>
      <c r="C25" s="124" t="str">
        <f>VLOOKUP(B25,选手名单!A:I,2,0)</f>
        <v>黑色柳丁</v>
      </c>
      <c r="D25" s="123">
        <f>VLOOKUP(B25,选手名单!A:I,6,0)</f>
        <v>76</v>
      </c>
      <c r="E25" s="123">
        <f>VLOOKUP(B25,选手名单!A:I,3,0)</f>
        <v>457383175</v>
      </c>
      <c r="F25" s="123">
        <f>VLOOKUP(B25,选手名单!A:I,5,0)</f>
        <v>0</v>
      </c>
      <c r="G25" s="128" t="str">
        <f>VLOOKUP(B25,选手名单!A:I,7,0)</f>
        <v>二</v>
      </c>
      <c r="H25" s="128"/>
      <c r="J25" s="30" t="s">
        <v>630</v>
      </c>
      <c r="K25" s="31">
        <v>80</v>
      </c>
      <c r="L25" s="52" t="s">
        <v>107</v>
      </c>
      <c r="M25" s="53">
        <v>85</v>
      </c>
      <c r="O25" s="54" t="s">
        <v>792</v>
      </c>
      <c r="P25" s="58"/>
      <c r="Q25" s="58"/>
      <c r="S25" s="58"/>
      <c r="T25" s="60"/>
      <c r="U25" s="41"/>
    </row>
    <row r="26" customHeight="1" spans="1:21">
      <c r="A26" s="122"/>
      <c r="B26" s="123">
        <v>41</v>
      </c>
      <c r="C26" s="125" t="e">
        <f>VLOOKUP(B26,选手名单!A:I,2,0)</f>
        <v>#N/A</v>
      </c>
      <c r="D26" s="123" t="e">
        <f>VLOOKUP(B26,选手名单!A:I,6,0)</f>
        <v>#N/A</v>
      </c>
      <c r="E26" s="123" t="e">
        <f>VLOOKUP(B26,选手名单!A:I,3,0)</f>
        <v>#N/A</v>
      </c>
      <c r="F26" s="123" t="e">
        <f>VLOOKUP(B26,选手名单!A:I,5,0)</f>
        <v>#N/A</v>
      </c>
      <c r="G26" s="128" t="e">
        <f>VLOOKUP(B26,选手名单!A:I,7,0)</f>
        <v>#N/A</v>
      </c>
      <c r="H26" s="129"/>
      <c r="J26" s="30" t="s">
        <v>410</v>
      </c>
      <c r="K26" s="31">
        <v>53</v>
      </c>
      <c r="L26" s="52" t="s">
        <v>104</v>
      </c>
      <c r="M26" s="53">
        <v>75</v>
      </c>
      <c r="O26" s="41"/>
      <c r="P26" s="59"/>
      <c r="Q26" s="60"/>
      <c r="S26" s="58"/>
      <c r="T26" s="60"/>
      <c r="U26" s="58"/>
    </row>
    <row r="27" customHeight="1" spans="1:21">
      <c r="A27" s="122"/>
      <c r="B27" s="123">
        <v>12</v>
      </c>
      <c r="C27" s="125" t="str">
        <f>VLOOKUP(B27,选手名单!A:I,2,0)</f>
        <v>秋</v>
      </c>
      <c r="D27" s="123">
        <f>VLOOKUP(B27,选手名单!A:I,6,0)</f>
        <v>90</v>
      </c>
      <c r="E27" s="123">
        <f>VLOOKUP(B27,选手名单!A:I,3,0)</f>
        <v>1004877057</v>
      </c>
      <c r="F27" s="123">
        <f>VLOOKUP(B27,选手名单!A:I,5,0)</f>
        <v>9000</v>
      </c>
      <c r="G27" s="128" t="str">
        <f>VLOOKUP(B27,选手名单!A:I,7,0)</f>
        <v>一,二,三,四</v>
      </c>
      <c r="H27" s="128"/>
      <c r="J27" s="30" t="s">
        <v>96</v>
      </c>
      <c r="K27" s="31">
        <v>75</v>
      </c>
      <c r="L27" s="52" t="s">
        <v>550</v>
      </c>
      <c r="M27" s="53">
        <v>30</v>
      </c>
      <c r="O27" s="42" t="s">
        <v>787</v>
      </c>
      <c r="P27" s="58"/>
      <c r="Q27" s="60"/>
      <c r="R27" s="61" t="s">
        <v>113</v>
      </c>
      <c r="S27" s="58"/>
      <c r="T27" s="60"/>
      <c r="U27" s="58"/>
    </row>
    <row r="28" customHeight="1" spans="1:21">
      <c r="A28" s="122"/>
      <c r="B28" s="123">
        <v>22</v>
      </c>
      <c r="C28" s="125" t="str">
        <f>VLOOKUP(B28,选手名单!A:I,2,0)</f>
        <v>哞哞</v>
      </c>
      <c r="D28" s="123">
        <f>VLOOKUP(B28,选手名单!A:I,6,0)</f>
        <v>65</v>
      </c>
      <c r="E28" s="123">
        <f>VLOOKUP(B28,选手名单!A:I,3,0)</f>
        <v>235611786</v>
      </c>
      <c r="F28" s="123">
        <f>VLOOKUP(B28,选手名单!A:I,5,0)</f>
        <v>4300</v>
      </c>
      <c r="G28" s="128" t="str">
        <f>VLOOKUP(B28,选手名单!A:I,7,0)</f>
        <v>二</v>
      </c>
      <c r="H28" s="128"/>
      <c r="J28" s="30" t="s">
        <v>378</v>
      </c>
      <c r="K28" s="31">
        <v>60</v>
      </c>
      <c r="L28" s="52" t="s">
        <v>99</v>
      </c>
      <c r="M28" s="53">
        <v>41</v>
      </c>
      <c r="P28" s="58"/>
      <c r="Q28" s="62"/>
      <c r="R28" s="41"/>
      <c r="S28" s="59"/>
      <c r="T28" s="58"/>
      <c r="U28" s="58"/>
    </row>
    <row r="29" customHeight="1" spans="1:21">
      <c r="A29" s="122"/>
      <c r="B29" s="123">
        <v>13</v>
      </c>
      <c r="C29" s="125" t="str">
        <f>VLOOKUP(B29,选手名单!A:I,2,0)</f>
        <v>赤夜紫雨</v>
      </c>
      <c r="D29" s="123">
        <f>VLOOKUP(B29,选手名单!A:I,6,0)</f>
        <v>89</v>
      </c>
      <c r="E29" s="123">
        <f>VLOOKUP(B29,选手名单!A:I,3,0)</f>
        <v>187933845</v>
      </c>
      <c r="F29" s="123">
        <f>VLOOKUP(B29,选手名单!A:I,5,0)</f>
        <v>8100</v>
      </c>
      <c r="G29" s="128" t="str">
        <f>VLOOKUP(B29,选手名单!A:I,7,0)</f>
        <v>一,三</v>
      </c>
      <c r="H29" s="128"/>
      <c r="J29" s="32" t="s">
        <v>789</v>
      </c>
      <c r="K29" s="33">
        <f>SUM(K24:K28)</f>
        <v>311</v>
      </c>
      <c r="L29" s="56" t="s">
        <v>789</v>
      </c>
      <c r="M29" s="57">
        <f>SUM(M24:M28)</f>
        <v>299</v>
      </c>
      <c r="O29" s="55" t="s">
        <v>795</v>
      </c>
      <c r="P29" s="58"/>
      <c r="Q29" s="60"/>
      <c r="R29" s="1"/>
      <c r="S29" s="58"/>
      <c r="T29" s="58"/>
      <c r="U29" s="58"/>
    </row>
    <row r="30" customHeight="1" spans="1:21">
      <c r="A30" s="122"/>
      <c r="B30" s="123">
        <v>30</v>
      </c>
      <c r="C30" s="125" t="str">
        <f>VLOOKUP(B30,选手名单!A:I,2,0)</f>
        <v>荼霏</v>
      </c>
      <c r="D30" s="123">
        <f>VLOOKUP(B30,选手名单!A:I,6,0)</f>
        <v>75</v>
      </c>
      <c r="E30" s="123">
        <f>VLOOKUP(B30,选手名单!A:I,3,0)</f>
        <v>137852652</v>
      </c>
      <c r="F30" s="123">
        <f>VLOOKUP(B30,选手名单!A:I,5,0)</f>
        <v>6800</v>
      </c>
      <c r="G30" s="128" t="str">
        <f>VLOOKUP(B30,选手名单!A:I,7,0)</f>
        <v>一,二,四,五</v>
      </c>
      <c r="H30" s="128"/>
      <c r="O30" s="41"/>
      <c r="P30" s="59"/>
      <c r="Q30" s="58"/>
      <c r="R30" s="1"/>
      <c r="S30" s="58"/>
      <c r="T30" s="58"/>
      <c r="U30" s="58"/>
    </row>
    <row r="31" customHeight="1" spans="1:8">
      <c r="A31" s="122"/>
      <c r="B31" s="123">
        <v>33</v>
      </c>
      <c r="C31" s="127" t="str">
        <f>VLOOKUP(B31,选手名单!A:I,2,0)</f>
        <v>杜麦尼</v>
      </c>
      <c r="D31" s="123">
        <f>VLOOKUP(B31,选手名单!A:I,6,0)</f>
        <v>50</v>
      </c>
      <c r="E31" s="123">
        <f>VLOOKUP(B31,选手名单!A:I,3,0)</f>
        <v>157424993</v>
      </c>
      <c r="F31" s="123">
        <f>VLOOKUP(B31,选手名单!A:I,5,0)</f>
        <v>5000</v>
      </c>
      <c r="G31" s="128" t="str">
        <f>VLOOKUP(B31,选手名单!A:I,7,0)</f>
        <v>一,二</v>
      </c>
      <c r="H31" s="128"/>
    </row>
    <row r="32" customHeight="1" spans="1:8">
      <c r="A32" s="122"/>
      <c r="B32" s="123">
        <v>37</v>
      </c>
      <c r="C32" s="125" t="e">
        <f>VLOOKUP(B32,选手名单!A:I,2,0)</f>
        <v>#N/A</v>
      </c>
      <c r="D32" s="123" t="e">
        <f>VLOOKUP(B32,选手名单!A:I,6,0)</f>
        <v>#N/A</v>
      </c>
      <c r="E32" s="123" t="e">
        <f>VLOOKUP(B32,选手名单!A:I,3,0)</f>
        <v>#N/A</v>
      </c>
      <c r="F32" s="123" t="e">
        <f>VLOOKUP(B32,选手名单!A:I,5,0)</f>
        <v>#N/A</v>
      </c>
      <c r="G32" s="128" t="e">
        <f>VLOOKUP(B32,选手名单!A:I,7,0)</f>
        <v>#N/A</v>
      </c>
      <c r="H32" s="128"/>
    </row>
    <row r="33" customHeight="1" spans="1:8">
      <c r="A33" s="122"/>
      <c r="B33" s="123">
        <v>19</v>
      </c>
      <c r="C33" s="125">
        <f>VLOOKUP(B33,选手名单!A:I,2,0)</f>
        <v>21</v>
      </c>
      <c r="D33" s="123">
        <f>VLOOKUP(B33,选手名单!A:I,6,0)</f>
        <v>75</v>
      </c>
      <c r="E33" s="123">
        <f>VLOOKUP(B33,选手名单!A:I,3,0)</f>
        <v>277443592</v>
      </c>
      <c r="F33" s="123">
        <f>VLOOKUP(B33,选手名单!A:I,5,0)</f>
        <v>6800</v>
      </c>
      <c r="G33" s="128" t="str">
        <f>VLOOKUP(B33,选手名单!A:I,7,0)</f>
        <v>一</v>
      </c>
      <c r="H33" s="128"/>
    </row>
    <row r="34" customHeight="1" spans="1:8">
      <c r="A34" s="122"/>
      <c r="B34" s="123">
        <v>27</v>
      </c>
      <c r="C34" s="125" t="str">
        <f>VLOOKUP(B34,选手名单!A:I,2,0)</f>
        <v>YuuU</v>
      </c>
      <c r="D34" s="123">
        <f>VLOOKUP(B34,选手名单!A:I,6,0)</f>
        <v>77</v>
      </c>
      <c r="E34" s="123">
        <f>VLOOKUP(B34,选手名单!A:I,3,0)</f>
        <v>885588023</v>
      </c>
      <c r="F34" s="123">
        <f>VLOOKUP(B34,选手名单!A:I,5,0)</f>
        <v>7000</v>
      </c>
      <c r="G34" s="128" t="str">
        <f>VLOOKUP(B34,选手名单!A:I,7,0)</f>
        <v>一,二,三,四,五</v>
      </c>
      <c r="H34" s="128"/>
    </row>
    <row r="35" customHeight="1" spans="1:8">
      <c r="A35" s="122"/>
      <c r="B35" s="123">
        <v>28</v>
      </c>
      <c r="C35" s="125" t="str">
        <f>VLOOKUP(B35,选手名单!A:I,2,0)</f>
        <v>BLY</v>
      </c>
      <c r="D35" s="123">
        <f>VLOOKUP(B35,选手名单!A:I,6,0)</f>
        <v>72</v>
      </c>
      <c r="E35" s="123">
        <f>VLOOKUP(B35,选手名单!A:I,3,0)</f>
        <v>323934704</v>
      </c>
      <c r="F35" s="123">
        <f>VLOOKUP(B35,选手名单!A:I,5,0)</f>
        <v>6400</v>
      </c>
      <c r="G35" s="128" t="str">
        <f>VLOOKUP(B35,选手名单!A:I,7,0)</f>
        <v>一</v>
      </c>
      <c r="H35" s="128"/>
    </row>
    <row r="36" customHeight="1" spans="1:8">
      <c r="A36" s="122"/>
      <c r="B36" s="123">
        <v>21</v>
      </c>
      <c r="C36" s="125" t="str">
        <f>VLOOKUP(B36,选手名单!A:I,2,0)</f>
        <v>游牧骑兵</v>
      </c>
      <c r="D36" s="123">
        <f>VLOOKUP(B36,选手名单!A:I,6,0)</f>
        <v>40</v>
      </c>
      <c r="E36" s="123">
        <f>VLOOKUP(B36,选手名单!A:I,3,0)</f>
        <v>351772086</v>
      </c>
      <c r="F36" s="123">
        <f>VLOOKUP(B36,选手名单!A:I,5,0)</f>
        <v>3000</v>
      </c>
      <c r="G36" s="128" t="str">
        <f>VLOOKUP(B36,选手名单!A:I,7,0)</f>
        <v>三,四,五</v>
      </c>
      <c r="H36" s="128"/>
    </row>
    <row r="37" customHeight="1" spans="1:8">
      <c r="A37" s="122"/>
      <c r="B37" s="123">
        <v>39</v>
      </c>
      <c r="C37" s="125" t="e">
        <f>VLOOKUP(B37,选手名单!A:I,2,0)</f>
        <v>#N/A</v>
      </c>
      <c r="D37" s="123" t="e">
        <f>VLOOKUP(B37,选手名单!A:I,6,0)</f>
        <v>#N/A</v>
      </c>
      <c r="E37" s="123" t="e">
        <f>VLOOKUP(B37,选手名单!A:I,3,0)</f>
        <v>#N/A</v>
      </c>
      <c r="F37" s="123" t="e">
        <f>VLOOKUP(B37,选手名单!A:I,5,0)</f>
        <v>#N/A</v>
      </c>
      <c r="G37" s="128" t="e">
        <f>VLOOKUP(B37,选手名单!A:I,7,0)</f>
        <v>#N/A</v>
      </c>
      <c r="H37" s="128"/>
    </row>
    <row r="38" customHeight="1" spans="1:8">
      <c r="A38" s="122"/>
      <c r="B38" s="123">
        <v>15</v>
      </c>
      <c r="C38" s="125" t="str">
        <f>VLOOKUP(B38,选手名单!A:I,2,0)</f>
        <v>End</v>
      </c>
      <c r="D38" s="123">
        <f>VLOOKUP(B38,选手名单!A:I,6,0)</f>
        <v>58</v>
      </c>
      <c r="E38" s="123">
        <f>VLOOKUP(B38,选手名单!A:I,3,0)</f>
        <v>354618808</v>
      </c>
      <c r="F38" s="123">
        <f>VLOOKUP(B38,选手名单!A:I,5,0)</f>
        <v>6000</v>
      </c>
      <c r="G38" s="128" t="str">
        <f>VLOOKUP(B38,选手名单!A:I,7,0)</f>
        <v>一,五</v>
      </c>
      <c r="H38" s="129"/>
    </row>
    <row r="39" customHeight="1" spans="1:8">
      <c r="A39" s="126"/>
      <c r="B39" s="123">
        <v>4</v>
      </c>
      <c r="C39" s="125" t="str">
        <f>VLOOKUP(B39,选手名单!A:I,2,0)</f>
        <v>军</v>
      </c>
      <c r="D39" s="123">
        <f>VLOOKUP(B39,选手名单!A:I,6,0)</f>
        <v>45</v>
      </c>
      <c r="E39" s="123">
        <f>VLOOKUP(B39,选手名单!A:I,3,0)</f>
        <v>77006306</v>
      </c>
      <c r="F39" s="123">
        <f>VLOOKUP(B39,选手名单!A:I,5,0)</f>
        <v>4600</v>
      </c>
      <c r="G39" s="128" t="str">
        <f>VLOOKUP(B39,选手名单!A:I,7,0)</f>
        <v>三,四</v>
      </c>
      <c r="H39" s="128"/>
    </row>
    <row r="40" customHeight="1" spans="1:8">
      <c r="A40" s="122"/>
      <c r="B40" s="123">
        <v>5</v>
      </c>
      <c r="C40" s="125" t="str">
        <f>VLOOKUP(B40,选手名单!A:I,2,0)</f>
        <v>蜡笔小雪</v>
      </c>
      <c r="D40" s="123">
        <f>VLOOKUP(B40,选手名单!A:I,6,0)</f>
        <v>60</v>
      </c>
      <c r="E40" s="123">
        <f>VLOOKUP(B40,选手名单!A:I,3,0)</f>
        <v>154029585</v>
      </c>
      <c r="F40" s="123">
        <f>VLOOKUP(B40,选手名单!A:I,5,0)</f>
        <v>6000</v>
      </c>
      <c r="G40" s="128" t="str">
        <f>VLOOKUP(B40,选手名单!A:I,7,0)</f>
        <v>三</v>
      </c>
      <c r="H40" s="128"/>
    </row>
    <row r="41" customHeight="1" spans="1:8">
      <c r="A41" s="122"/>
      <c r="B41" s="123">
        <v>29</v>
      </c>
      <c r="C41" s="125" t="str">
        <f>VLOOKUP(B41,选手名单!A:I,2,0)</f>
        <v>风</v>
      </c>
      <c r="D41" s="123">
        <f>VLOOKUP(B41,选手名单!A:I,6,0)</f>
        <v>50</v>
      </c>
      <c r="E41" s="123">
        <f>VLOOKUP(B41,选手名单!A:I,3,0)</f>
        <v>178988576</v>
      </c>
      <c r="F41" s="123">
        <f>VLOOKUP(B41,选手名单!A:I,5,0)</f>
        <v>5000</v>
      </c>
      <c r="G41" s="128" t="str">
        <f>VLOOKUP(B41,选手名单!A:I,7,0)</f>
        <v>一,三</v>
      </c>
      <c r="H41" s="128"/>
    </row>
    <row r="42" customHeight="1" spans="1:2">
      <c r="A42" s="122" t="s">
        <v>796</v>
      </c>
      <c r="B42" s="119" t="s">
        <v>797</v>
      </c>
    </row>
  </sheetData>
  <autoFilter ref="B1:H42">
    <extLst/>
  </autoFilter>
  <mergeCells count="29">
    <mergeCell ref="J2:K2"/>
    <mergeCell ref="L2:M2"/>
    <mergeCell ref="J9:K9"/>
    <mergeCell ref="L9:M9"/>
    <mergeCell ref="J16:K16"/>
    <mergeCell ref="L16:M16"/>
    <mergeCell ref="J23:K23"/>
    <mergeCell ref="L23:M23"/>
    <mergeCell ref="O2:O3"/>
    <mergeCell ref="O4:O5"/>
    <mergeCell ref="O6:O7"/>
    <mergeCell ref="O10:O11"/>
    <mergeCell ref="O12:O13"/>
    <mergeCell ref="O14:O15"/>
    <mergeCell ref="O17:O18"/>
    <mergeCell ref="O19:O20"/>
    <mergeCell ref="O21:O22"/>
    <mergeCell ref="O25:O26"/>
    <mergeCell ref="O27:O28"/>
    <mergeCell ref="O29:O30"/>
    <mergeCell ref="R4:R5"/>
    <mergeCell ref="R6:R11"/>
    <mergeCell ref="R12:R13"/>
    <mergeCell ref="R19:R20"/>
    <mergeCell ref="R21:R26"/>
    <mergeCell ref="R27:R28"/>
    <mergeCell ref="U7:U10"/>
    <mergeCell ref="U22:U25"/>
    <mergeCell ref="X13:X17"/>
  </mergeCells>
  <conditionalFormatting sqref="D1:D185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2:D4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.11内战"/>
  <dimension ref="A1:X36"/>
  <sheetViews>
    <sheetView workbookViewId="0">
      <selection activeCell="A1" sqref="A1"/>
    </sheetView>
  </sheetViews>
  <sheetFormatPr defaultColWidth="14" defaultRowHeight="18" customHeight="1"/>
  <cols>
    <col min="1" max="1" width="8.8984375" style="3" customWidth="1"/>
    <col min="2" max="5" width="13.671875" style="3"/>
    <col min="8" max="8" width="3.1015625" customWidth="1"/>
    <col min="13" max="13" width="3.640625" customWidth="1"/>
    <col min="15" max="16" width="3.1015625" customWidth="1"/>
    <col min="18" max="19" width="3.1015625" customWidth="1"/>
    <col min="21" max="21" width="3.640625" customWidth="1"/>
    <col min="22" max="22" width="3.5078125" customWidth="1"/>
  </cols>
  <sheetData>
    <row r="1" customHeight="1" spans="1:7">
      <c r="A1" s="84" t="s">
        <v>720</v>
      </c>
      <c r="B1" s="84" t="s">
        <v>270</v>
      </c>
      <c r="C1" s="84" t="s">
        <v>721</v>
      </c>
      <c r="D1" s="84" t="s">
        <v>271</v>
      </c>
      <c r="E1" s="84" t="s">
        <v>722</v>
      </c>
      <c r="F1" s="84" t="s">
        <v>226</v>
      </c>
      <c r="G1" s="84" t="s">
        <v>723</v>
      </c>
    </row>
    <row r="2" customHeight="1" spans="1:20">
      <c r="A2" s="110">
        <v>15</v>
      </c>
      <c r="B2" s="111" t="s">
        <v>143</v>
      </c>
      <c r="C2" s="110">
        <f>VLOOKUP(B2,选手名单!B:I,5,0)</f>
        <v>28</v>
      </c>
      <c r="D2" s="110">
        <f>VLOOKUP(B2,选手名单!B:I,2,0)</f>
        <v>283980530</v>
      </c>
      <c r="E2" s="110">
        <f>VLOOKUP(B2,选手名单!B:I,4,0)</f>
        <v>2000</v>
      </c>
      <c r="F2" s="115" t="str">
        <f>VLOOKUP(B2,选手名单!B:I,6,0)</f>
        <v>四,五,三,二,一</v>
      </c>
      <c r="G2" s="115"/>
      <c r="I2" s="19" t="s">
        <v>143</v>
      </c>
      <c r="J2" s="20"/>
      <c r="K2" s="36" t="s">
        <v>94</v>
      </c>
      <c r="L2" s="37"/>
      <c r="N2" s="38" t="s">
        <v>561</v>
      </c>
      <c r="O2" s="58"/>
      <c r="P2" s="58"/>
      <c r="Q2" s="1"/>
      <c r="R2" s="58"/>
      <c r="S2" s="58"/>
      <c r="T2" s="58"/>
    </row>
    <row r="3" customHeight="1" spans="1:20">
      <c r="A3" s="82"/>
      <c r="B3" s="86" t="s">
        <v>562</v>
      </c>
      <c r="C3" s="82">
        <f>VLOOKUP(B3,选手名单!B:I,5,0)</f>
        <v>28</v>
      </c>
      <c r="D3" s="82">
        <f>VLOOKUP(B3,选手名单!B:I,2,0)</f>
        <v>248577940</v>
      </c>
      <c r="E3" s="82">
        <f>VLOOKUP(B3,选手名单!B:I,4,0)</f>
        <v>4000</v>
      </c>
      <c r="F3" s="87" t="str">
        <f>VLOOKUP(B3,选手名单!B:I,6,0)</f>
        <v>四,五</v>
      </c>
      <c r="G3" s="87"/>
      <c r="I3" s="21" t="s">
        <v>143</v>
      </c>
      <c r="J3" s="22">
        <f>VLOOKUP(B2,选手名单!B:I,5,0)</f>
        <v>28</v>
      </c>
      <c r="K3" s="39" t="s">
        <v>94</v>
      </c>
      <c r="L3" s="40">
        <f>VLOOKUP(B4,选手名单!B:I,5,0)</f>
        <v>30</v>
      </c>
      <c r="N3" s="41"/>
      <c r="O3" s="59"/>
      <c r="P3" s="60"/>
      <c r="Q3" s="51"/>
      <c r="R3" s="58"/>
      <c r="S3" s="58"/>
      <c r="T3" s="58"/>
    </row>
    <row r="4" customHeight="1" spans="1:20">
      <c r="A4" s="41"/>
      <c r="B4" s="91" t="s">
        <v>94</v>
      </c>
      <c r="C4" s="82">
        <f>VLOOKUP(B4,选手名单!B:I,5,0)</f>
        <v>30</v>
      </c>
      <c r="D4" s="82">
        <f>VLOOKUP(B4,选手名单!B:I,2,0)</f>
        <v>136636318</v>
      </c>
      <c r="E4" s="82">
        <f>VLOOKUP(B4,选手名单!B:I,4,0)</f>
        <v>3000</v>
      </c>
      <c r="F4" s="87" t="str">
        <f>VLOOKUP(B4,选手名单!B:I,6,0)</f>
        <v>四</v>
      </c>
      <c r="G4" s="41"/>
      <c r="I4" s="23" t="s">
        <v>138</v>
      </c>
      <c r="J4" s="24">
        <f>VLOOKUP(B33,选手名单!B:I,5,0)</f>
        <v>50</v>
      </c>
      <c r="K4" s="39" t="s">
        <v>228</v>
      </c>
      <c r="L4" s="40">
        <f>VLOOKUP(B36,选手名单!B:I,5,0)</f>
        <v>90</v>
      </c>
      <c r="N4" s="42" t="s">
        <v>787</v>
      </c>
      <c r="O4" s="58"/>
      <c r="P4" s="60"/>
      <c r="Q4" s="61" t="s">
        <v>628</v>
      </c>
      <c r="R4" s="58"/>
      <c r="S4" s="58"/>
      <c r="T4" s="58"/>
    </row>
    <row r="5" customHeight="1" spans="1:20">
      <c r="A5" s="112"/>
      <c r="B5" s="113" t="s">
        <v>625</v>
      </c>
      <c r="C5" s="112">
        <f>VLOOKUP(B5,选手名单!B:I,5,0)</f>
        <v>34</v>
      </c>
      <c r="D5" s="112">
        <f>VLOOKUP(B5,选手名单!B:I,2,0)</f>
        <v>400294058</v>
      </c>
      <c r="E5" s="112">
        <f>VLOOKUP(B5,选手名单!B:I,4,0)</f>
        <v>4000</v>
      </c>
      <c r="F5" s="116" t="str">
        <f>VLOOKUP(B5,选手名单!B:I,6,0)</f>
        <v>四,五</v>
      </c>
      <c r="G5" s="87"/>
      <c r="I5" s="23" t="s">
        <v>618</v>
      </c>
      <c r="J5" s="24" t="e">
        <f>VLOOKUP(B34,选手名单!B:I,5,0)</f>
        <v>#N/A</v>
      </c>
      <c r="K5" s="39" t="s">
        <v>354</v>
      </c>
      <c r="L5" s="40">
        <f>VLOOKUP(B24,选手名单!B:I,5,0)</f>
        <v>70</v>
      </c>
      <c r="O5" s="58"/>
      <c r="P5" s="62"/>
      <c r="Q5" s="41"/>
      <c r="R5" s="59"/>
      <c r="S5" s="60"/>
      <c r="T5" s="63"/>
    </row>
    <row r="6" customHeight="1" spans="1:20">
      <c r="A6" s="82">
        <v>25</v>
      </c>
      <c r="B6" s="114" t="s">
        <v>529</v>
      </c>
      <c r="C6" s="82">
        <f>VLOOKUP(B6,选手名单!B:I,5,0)</f>
        <v>35</v>
      </c>
      <c r="D6" s="82">
        <f>VLOOKUP(B6,选手名单!B:I,2,0)</f>
        <v>308829979</v>
      </c>
      <c r="E6" s="82">
        <f>VLOOKUP(B6,选手名单!B:I,4,0)</f>
        <v>4000</v>
      </c>
      <c r="F6" s="87" t="str">
        <f>VLOOKUP(B6,选手名单!B:I,6,0)</f>
        <v>五</v>
      </c>
      <c r="G6" s="87"/>
      <c r="I6" s="23" t="s">
        <v>622</v>
      </c>
      <c r="J6" s="24" t="e">
        <f>VLOOKUP(B14,选手名单!B:I,5,0)</f>
        <v>#N/A</v>
      </c>
      <c r="K6" s="39" t="s">
        <v>394</v>
      </c>
      <c r="L6" s="40">
        <f>VLOOKUP(B17,选手名单!B:I,5,0)</f>
        <v>59</v>
      </c>
      <c r="N6" s="45" t="s">
        <v>628</v>
      </c>
      <c r="O6" s="58"/>
      <c r="P6" s="60"/>
      <c r="Q6" s="42" t="s">
        <v>787</v>
      </c>
      <c r="R6" s="58"/>
      <c r="S6" s="60"/>
      <c r="T6" s="1"/>
    </row>
    <row r="7" customHeight="1" spans="1:20">
      <c r="A7" s="41"/>
      <c r="B7" s="91" t="s">
        <v>477</v>
      </c>
      <c r="C7" s="82">
        <f>VLOOKUP(B7,选手名单!B:I,5,0)</f>
        <v>43</v>
      </c>
      <c r="D7" s="82">
        <f>VLOOKUP(B7,选手名单!B:I,2,0)</f>
        <v>0</v>
      </c>
      <c r="E7" s="82">
        <f>VLOOKUP(B7,选手名单!B:I,4,0)</f>
        <v>4300</v>
      </c>
      <c r="F7" s="87" t="str">
        <f>VLOOKUP(B7,选手名单!B:I,6,0)</f>
        <v>一,三,四</v>
      </c>
      <c r="G7" s="41"/>
      <c r="I7" s="117" t="s">
        <v>562</v>
      </c>
      <c r="J7" s="118">
        <f>VLOOKUP(B3,选手名单!B:I,5,0)</f>
        <v>28</v>
      </c>
      <c r="K7" s="46" t="s">
        <v>253</v>
      </c>
      <c r="L7" s="47">
        <f>VLOOKUP(B12,选手名单!B:I,5,0)</f>
        <v>64</v>
      </c>
      <c r="N7" s="41"/>
      <c r="O7" s="59"/>
      <c r="P7" s="58"/>
      <c r="R7" s="58"/>
      <c r="S7" s="60"/>
      <c r="T7" s="61" t="s">
        <v>628</v>
      </c>
    </row>
    <row r="8" customHeight="1" spans="1:20">
      <c r="A8" s="110">
        <v>14</v>
      </c>
      <c r="B8" s="111" t="s">
        <v>439</v>
      </c>
      <c r="C8" s="110">
        <f>VLOOKUP(B8,选手名单!B:I,5,0)</f>
        <v>49</v>
      </c>
      <c r="D8" s="110">
        <f>VLOOKUP(B8,选手名单!B:I,2,0)</f>
        <v>443919132</v>
      </c>
      <c r="E8" s="110">
        <f>VLOOKUP(B8,选手名单!B:I,4,0)</f>
        <v>4700</v>
      </c>
      <c r="F8" s="115" t="str">
        <f>VLOOKUP(B8,选手名单!B:I,6,0)</f>
        <v>四,五</v>
      </c>
      <c r="G8" s="115"/>
      <c r="I8" s="27" t="s">
        <v>727</v>
      </c>
      <c r="J8" s="28" t="e">
        <f>SUM(J3:J7)</f>
        <v>#N/A</v>
      </c>
      <c r="K8" s="48" t="s">
        <v>727</v>
      </c>
      <c r="L8" s="47">
        <f>SUM(L3:L7)</f>
        <v>313</v>
      </c>
      <c r="N8" s="49"/>
      <c r="O8" s="49"/>
      <c r="P8" s="49"/>
      <c r="R8" s="58"/>
      <c r="S8" s="60"/>
      <c r="T8" s="41"/>
    </row>
    <row r="9" customHeight="1" spans="1:21">
      <c r="A9" s="110">
        <v>7</v>
      </c>
      <c r="B9" s="111" t="s">
        <v>451</v>
      </c>
      <c r="C9" s="110">
        <f>VLOOKUP(B9,选手名单!B:I,5,0)</f>
        <v>47</v>
      </c>
      <c r="D9" s="110">
        <f>VLOOKUP(B9,选手名单!B:I,2,0)</f>
        <v>250268031</v>
      </c>
      <c r="E9" s="110">
        <f>VLOOKUP(B9,选手名单!B:I,4,0)</f>
        <v>4700</v>
      </c>
      <c r="F9" s="115" t="str">
        <f>VLOOKUP(B9,选手名单!B:I,6,0)</f>
        <v>一</v>
      </c>
      <c r="G9" s="115"/>
      <c r="I9" s="29" t="s">
        <v>625</v>
      </c>
      <c r="J9" s="20"/>
      <c r="K9" s="50" t="s">
        <v>477</v>
      </c>
      <c r="L9" s="37"/>
      <c r="N9" s="51"/>
      <c r="O9" s="58"/>
      <c r="P9" s="58"/>
      <c r="R9" s="58"/>
      <c r="S9" s="62"/>
      <c r="T9" s="41"/>
      <c r="U9" s="80"/>
    </row>
    <row r="10" customHeight="1" spans="1:21">
      <c r="A10" s="82">
        <v>18</v>
      </c>
      <c r="B10" s="91" t="s">
        <v>172</v>
      </c>
      <c r="C10" s="82">
        <f>VLOOKUP(B10,选手名单!B:I,5,0)</f>
        <v>45</v>
      </c>
      <c r="D10" s="82">
        <f>VLOOKUP(B10,选手名单!B:I,2,0)</f>
        <v>320479234</v>
      </c>
      <c r="E10" s="82">
        <f>VLOOKUP(B10,选手名单!B:I,4,0)</f>
        <v>4990</v>
      </c>
      <c r="F10" s="87" t="str">
        <f>VLOOKUP(B10,选手名单!B:I,6,0)</f>
        <v>四,五</v>
      </c>
      <c r="G10" s="115"/>
      <c r="I10" s="30" t="s">
        <v>625</v>
      </c>
      <c r="J10" s="31">
        <f>VLOOKUP(B5,选手名单!B:I,5,0)</f>
        <v>34</v>
      </c>
      <c r="K10" s="52" t="s">
        <v>477</v>
      </c>
      <c r="L10" s="53">
        <f>VLOOKUP(B6,选手名单!B:I,5,0)</f>
        <v>35</v>
      </c>
      <c r="N10" s="54" t="s">
        <v>94</v>
      </c>
      <c r="O10" s="58"/>
      <c r="P10" s="58"/>
      <c r="R10" s="58"/>
      <c r="S10" s="60"/>
      <c r="T10" s="41"/>
      <c r="U10" s="81"/>
    </row>
    <row r="11" customHeight="1" spans="1:21">
      <c r="A11" s="82">
        <v>19</v>
      </c>
      <c r="B11" s="114" t="s">
        <v>421</v>
      </c>
      <c r="C11" s="82">
        <f>VLOOKUP(B11,选手名单!B:I,5,0)</f>
        <v>52</v>
      </c>
      <c r="D11" s="82">
        <f>VLOOKUP(B11,选手名单!B:I,2,0)</f>
        <v>138862706</v>
      </c>
      <c r="E11" s="82">
        <f>VLOOKUP(B11,选手名单!B:I,4,0)</f>
        <v>5000</v>
      </c>
      <c r="F11" s="87" t="str">
        <f>VLOOKUP(B11,选手名单!B:I,6,0)</f>
        <v>三,四</v>
      </c>
      <c r="G11" s="87"/>
      <c r="I11" s="30" t="s">
        <v>84</v>
      </c>
      <c r="J11" s="31">
        <f>VLOOKUP(B35,选手名单!B:I,5,0)</f>
        <v>90</v>
      </c>
      <c r="K11" s="52" t="s">
        <v>303</v>
      </c>
      <c r="L11" s="53">
        <f>VLOOKUP(B27,选手名单!B:I,5,0)</f>
        <v>80</v>
      </c>
      <c r="N11" s="41"/>
      <c r="O11" s="59"/>
      <c r="P11" s="60"/>
      <c r="R11" s="58"/>
      <c r="S11" s="60"/>
      <c r="T11" s="58"/>
      <c r="U11" s="81"/>
    </row>
    <row r="12" customHeight="1" spans="1:23">
      <c r="A12" s="82">
        <v>20</v>
      </c>
      <c r="B12" s="114" t="s">
        <v>253</v>
      </c>
      <c r="C12" s="82">
        <f>VLOOKUP(B12,选手名单!B:I,5,0)</f>
        <v>64</v>
      </c>
      <c r="D12" s="82">
        <f>VLOOKUP(B12,选手名单!B:I,2,0)</f>
        <v>108868178</v>
      </c>
      <c r="E12" s="82">
        <f>VLOOKUP(B12,选手名单!B:I,4,0)</f>
        <v>6000</v>
      </c>
      <c r="F12" s="87" t="str">
        <f>VLOOKUP(B12,选手名单!B:I,6,0)</f>
        <v>二</v>
      </c>
      <c r="G12" s="87"/>
      <c r="I12" s="30" t="s">
        <v>626</v>
      </c>
      <c r="J12" s="31" t="e">
        <f>VLOOKUP(B30,选手名单!B:I,5,0)</f>
        <v>#N/A</v>
      </c>
      <c r="K12" s="52" t="s">
        <v>101</v>
      </c>
      <c r="L12" s="53">
        <f>VLOOKUP(B26,选手名单!B:I,5,0)</f>
        <v>75</v>
      </c>
      <c r="N12" s="42" t="s">
        <v>787</v>
      </c>
      <c r="O12" s="58"/>
      <c r="P12" s="60"/>
      <c r="Q12" s="61" t="s">
        <v>439</v>
      </c>
      <c r="R12" s="58"/>
      <c r="S12" s="60"/>
      <c r="T12" s="58"/>
      <c r="U12" s="81"/>
      <c r="W12" s="3" t="s">
        <v>730</v>
      </c>
    </row>
    <row r="13" customHeight="1" spans="1:24">
      <c r="A13" s="82">
        <v>5</v>
      </c>
      <c r="B13" s="114" t="s">
        <v>410</v>
      </c>
      <c r="C13" s="82">
        <f>VLOOKUP(B13,选手名单!B:I,5,0)</f>
        <v>55</v>
      </c>
      <c r="D13" s="82">
        <f>VLOOKUP(B13,选手名单!B:I,2,0)</f>
        <v>207370853</v>
      </c>
      <c r="E13" s="82">
        <f>VLOOKUP(B13,选手名单!B:I,4,0)</f>
        <v>5800</v>
      </c>
      <c r="F13" s="87" t="str">
        <f>VLOOKUP(B13,选手名单!B:I,6,0)</f>
        <v>二,三,四,五</v>
      </c>
      <c r="G13" s="87"/>
      <c r="I13" s="30" t="s">
        <v>384</v>
      </c>
      <c r="J13" s="31">
        <f>VLOOKUP(B15,选手名单!B:I,5,0)</f>
        <v>60</v>
      </c>
      <c r="K13" s="52" t="s">
        <v>250</v>
      </c>
      <c r="L13" s="53">
        <f>VLOOKUP(B21,选手名单!B:I,5,0)</f>
        <v>68</v>
      </c>
      <c r="O13" s="58"/>
      <c r="P13" s="62"/>
      <c r="Q13" s="41"/>
      <c r="R13" s="59"/>
      <c r="S13" s="58"/>
      <c r="T13" s="58"/>
      <c r="U13" s="81"/>
      <c r="W13" s="77" t="s">
        <v>172</v>
      </c>
      <c r="X13" s="100" t="s">
        <v>172</v>
      </c>
    </row>
    <row r="14" customHeight="1" spans="1:24">
      <c r="A14" s="82">
        <v>17</v>
      </c>
      <c r="B14" s="114" t="s">
        <v>622</v>
      </c>
      <c r="C14" s="82" t="e">
        <f>VLOOKUP(B14,选手名单!B:I,5,0)</f>
        <v>#N/A</v>
      </c>
      <c r="D14" s="82" t="e">
        <f>VLOOKUP(B14,选手名单!B:I,2,0)</f>
        <v>#N/A</v>
      </c>
      <c r="E14" s="82" t="e">
        <f>VLOOKUP(B14,选手名单!B:I,4,0)</f>
        <v>#N/A</v>
      </c>
      <c r="F14" s="87" t="e">
        <f>VLOOKUP(B14,选手名单!B:I,6,0)</f>
        <v>#N/A</v>
      </c>
      <c r="G14" s="87"/>
      <c r="I14" s="30" t="s">
        <v>132</v>
      </c>
      <c r="J14" s="31">
        <f>VLOOKUP(B16,选手名单!B:I,5,0)</f>
        <v>63</v>
      </c>
      <c r="K14" s="52" t="s">
        <v>627</v>
      </c>
      <c r="L14" s="53">
        <f>VLOOKUP(B19,选手名单!B:I,5,0)</f>
        <v>58</v>
      </c>
      <c r="N14" s="55" t="s">
        <v>439</v>
      </c>
      <c r="O14" s="58"/>
      <c r="P14" s="60"/>
      <c r="Q14" s="1"/>
      <c r="R14" s="58"/>
      <c r="S14" s="58"/>
      <c r="T14" s="58"/>
      <c r="U14" s="81"/>
      <c r="W14" s="105"/>
      <c r="X14" s="100" t="s">
        <v>118</v>
      </c>
    </row>
    <row r="15" customHeight="1" spans="1:24">
      <c r="A15" s="82">
        <v>11</v>
      </c>
      <c r="B15" s="114" t="s">
        <v>384</v>
      </c>
      <c r="C15" s="82">
        <f>VLOOKUP(B15,选手名单!B:I,5,0)</f>
        <v>60</v>
      </c>
      <c r="D15" s="82">
        <f>VLOOKUP(B15,选手名单!B:I,2,0)</f>
        <v>171553343</v>
      </c>
      <c r="E15" s="82">
        <f>VLOOKUP(B15,选手名单!B:I,4,0)</f>
        <v>6000</v>
      </c>
      <c r="F15" s="87" t="str">
        <f>VLOOKUP(B15,选手名单!B:I,6,0)</f>
        <v>三,五</v>
      </c>
      <c r="G15" s="87"/>
      <c r="I15" s="32" t="s">
        <v>727</v>
      </c>
      <c r="J15" s="33" t="e">
        <f>SUM(J10:J14)</f>
        <v>#N/A</v>
      </c>
      <c r="K15" s="56" t="s">
        <v>727</v>
      </c>
      <c r="L15" s="57">
        <f>SUM(L10:L14)</f>
        <v>316</v>
      </c>
      <c r="N15" s="41"/>
      <c r="O15" s="59"/>
      <c r="P15" s="58"/>
      <c r="Q15" s="1"/>
      <c r="R15" s="58"/>
      <c r="S15" s="58"/>
      <c r="T15" s="58"/>
      <c r="U15" s="81"/>
      <c r="V15" t="s">
        <v>745</v>
      </c>
      <c r="W15" s="105"/>
      <c r="X15" s="100" t="s">
        <v>611</v>
      </c>
    </row>
    <row r="16" customHeight="1" spans="1:24">
      <c r="A16" s="41"/>
      <c r="B16" s="114" t="s">
        <v>132</v>
      </c>
      <c r="C16" s="82">
        <f>VLOOKUP(B16,选手名单!B:I,5,0)</f>
        <v>63</v>
      </c>
      <c r="D16" s="82">
        <f>VLOOKUP(B16,选手名单!B:I,2,0)</f>
        <v>104465635</v>
      </c>
      <c r="E16" s="82">
        <f>VLOOKUP(B16,选手名单!B:I,4,0)</f>
        <v>6000</v>
      </c>
      <c r="F16" s="87" t="str">
        <f>VLOOKUP(B16,选手名单!B:I,6,0)</f>
        <v>一,二</v>
      </c>
      <c r="G16" s="41"/>
      <c r="I16" s="101" t="s">
        <v>439</v>
      </c>
      <c r="J16" s="41"/>
      <c r="K16" s="104" t="s">
        <v>451</v>
      </c>
      <c r="L16" s="41"/>
      <c r="U16" s="81"/>
      <c r="W16" s="105"/>
      <c r="X16" s="100" t="s">
        <v>355</v>
      </c>
    </row>
    <row r="17" customHeight="1" spans="1:24">
      <c r="A17" s="82">
        <v>4</v>
      </c>
      <c r="B17" s="114" t="s">
        <v>394</v>
      </c>
      <c r="C17" s="82">
        <f>VLOOKUP(B17,选手名单!B:I,5,0)</f>
        <v>59</v>
      </c>
      <c r="D17" s="82">
        <f>VLOOKUP(B17,选手名单!B:I,2,0)</f>
        <v>1255409177</v>
      </c>
      <c r="E17" s="82">
        <f>VLOOKUP(B17,选手名单!B:I,4,0)</f>
        <v>6200</v>
      </c>
      <c r="F17" s="87" t="str">
        <f>VLOOKUP(B17,选手名单!B:I,6,0)</f>
        <v>三</v>
      </c>
      <c r="G17" s="87"/>
      <c r="I17" s="101" t="s">
        <v>439</v>
      </c>
      <c r="J17" s="101">
        <f>VLOOKUP(B7,选手名单!B:I,5,0)</f>
        <v>43</v>
      </c>
      <c r="K17" s="104" t="s">
        <v>451</v>
      </c>
      <c r="L17" s="104">
        <f>VLOOKUP(B8,选手名单!B:I,5,0)</f>
        <v>49</v>
      </c>
      <c r="N17" s="38" t="s">
        <v>179</v>
      </c>
      <c r="O17" s="58"/>
      <c r="P17" s="58"/>
      <c r="Q17" s="1"/>
      <c r="R17" s="58"/>
      <c r="S17" s="58"/>
      <c r="T17" s="58"/>
      <c r="U17" s="81"/>
      <c r="W17" s="106"/>
      <c r="X17" s="100" t="s">
        <v>421</v>
      </c>
    </row>
    <row r="18" customHeight="1" spans="1:21">
      <c r="A18" s="82">
        <v>8</v>
      </c>
      <c r="B18" s="114" t="s">
        <v>118</v>
      </c>
      <c r="C18" s="82">
        <f>VLOOKUP(B18,选手名单!B:I,5,0)</f>
        <v>60</v>
      </c>
      <c r="D18" s="82">
        <f>VLOOKUP(B18,选手名单!B:I,2,0)</f>
        <v>154029585</v>
      </c>
      <c r="E18" s="82">
        <f>VLOOKUP(B18,选手名单!B:I,4,0)</f>
        <v>6000</v>
      </c>
      <c r="F18" s="87" t="str">
        <f>VLOOKUP(B18,选手名单!B:I,6,0)</f>
        <v>三</v>
      </c>
      <c r="G18" s="87"/>
      <c r="I18" s="101" t="s">
        <v>80</v>
      </c>
      <c r="J18" s="101">
        <f>VLOOKUP(B32,选手名单!B:I,5,0)</f>
        <v>84</v>
      </c>
      <c r="K18" s="104" t="s">
        <v>88</v>
      </c>
      <c r="L18" s="104">
        <f>VLOOKUP(B29,选手名单!B:I,5,0)</f>
        <v>83</v>
      </c>
      <c r="N18" s="41"/>
      <c r="O18" s="59"/>
      <c r="P18" s="60"/>
      <c r="Q18" s="51"/>
      <c r="R18" s="58"/>
      <c r="S18" s="58"/>
      <c r="T18" s="58"/>
      <c r="U18" s="81"/>
    </row>
    <row r="19" customHeight="1" spans="1:21">
      <c r="A19" s="82">
        <v>12</v>
      </c>
      <c r="B19" s="114" t="s">
        <v>627</v>
      </c>
      <c r="C19" s="82">
        <f>VLOOKUP(B19,选手名单!B:I,5,0)</f>
        <v>58</v>
      </c>
      <c r="D19" s="82">
        <f>VLOOKUP(B19,选手名单!B:I,2,0)</f>
        <v>1101885767</v>
      </c>
      <c r="E19" s="82">
        <f>VLOOKUP(B19,选手名单!B:I,4,0)</f>
        <v>6500</v>
      </c>
      <c r="F19" s="87" t="str">
        <f>VLOOKUP(B19,选手名单!B:I,6,0)</f>
        <v>四,五</v>
      </c>
      <c r="G19" s="87"/>
      <c r="I19" s="101" t="s">
        <v>410</v>
      </c>
      <c r="J19" s="101">
        <f>VLOOKUP(B13,选手名单!B:I,5,0)</f>
        <v>55</v>
      </c>
      <c r="K19" s="104" t="s">
        <v>629</v>
      </c>
      <c r="L19" s="104">
        <f>VLOOKUP(B21,选手名单!B:I,5,0)</f>
        <v>68</v>
      </c>
      <c r="N19" s="42" t="s">
        <v>787</v>
      </c>
      <c r="O19" s="58"/>
      <c r="P19" s="60"/>
      <c r="Q19" s="61" t="s">
        <v>798</v>
      </c>
      <c r="R19" s="58"/>
      <c r="S19" s="58"/>
      <c r="T19" s="58"/>
      <c r="U19" s="81"/>
    </row>
    <row r="20" customHeight="1" spans="1:21">
      <c r="A20" s="82"/>
      <c r="B20" s="114" t="s">
        <v>330</v>
      </c>
      <c r="C20" s="82">
        <f>VLOOKUP(B20,选手名单!B:I,5,0)</f>
        <v>72</v>
      </c>
      <c r="D20" s="82">
        <f>VLOOKUP(B20,选手名单!B:I,2,0)</f>
        <v>323934704</v>
      </c>
      <c r="E20" s="82">
        <f>VLOOKUP(B20,选手名单!B:I,4,0)</f>
        <v>6400</v>
      </c>
      <c r="F20" s="87" t="str">
        <f>VLOOKUP(B20,选手名单!B:I,6,0)</f>
        <v>一</v>
      </c>
      <c r="G20" s="87"/>
      <c r="I20" s="101" t="s">
        <v>87</v>
      </c>
      <c r="J20" s="101">
        <f>VLOOKUP(B26,选手名单!B:I,5,0)</f>
        <v>75</v>
      </c>
      <c r="K20" s="104" t="s">
        <v>150</v>
      </c>
      <c r="L20" s="104">
        <f>VLOOKUP(B25,选手名单!B:I,5,0)</f>
        <v>77</v>
      </c>
      <c r="O20" s="58"/>
      <c r="P20" s="62"/>
      <c r="Q20" s="41"/>
      <c r="R20" s="59"/>
      <c r="S20" s="60"/>
      <c r="T20" s="63"/>
      <c r="U20" s="81"/>
    </row>
    <row r="21" customHeight="1" spans="1:21">
      <c r="A21" s="82">
        <v>6</v>
      </c>
      <c r="B21" s="114" t="s">
        <v>250</v>
      </c>
      <c r="C21" s="82">
        <f>VLOOKUP(B21,选手名单!B:I,5,0)</f>
        <v>68</v>
      </c>
      <c r="D21" s="82">
        <f>VLOOKUP(B21,选手名单!B:I,2,0)</f>
        <v>355328125</v>
      </c>
      <c r="E21" s="82">
        <f>VLOOKUP(B21,选手名单!B:I,4,0)</f>
        <v>6649</v>
      </c>
      <c r="F21" s="87" t="str">
        <f>VLOOKUP(B21,选手名单!B:I,6,0)</f>
        <v>一,二,三,四,五</v>
      </c>
      <c r="G21" s="87"/>
      <c r="I21" s="101" t="s">
        <v>330</v>
      </c>
      <c r="J21" s="101">
        <f>VLOOKUP(B20,选手名单!B:I,5,0)</f>
        <v>72</v>
      </c>
      <c r="K21" s="104" t="s">
        <v>529</v>
      </c>
      <c r="L21" s="104">
        <f>VLOOKUP(B6,选手名单!B:I,5,0)</f>
        <v>35</v>
      </c>
      <c r="N21" s="45" t="s">
        <v>798</v>
      </c>
      <c r="O21" s="58"/>
      <c r="P21" s="60"/>
      <c r="Q21" s="42" t="s">
        <v>787</v>
      </c>
      <c r="R21" s="58"/>
      <c r="S21" s="60"/>
      <c r="T21" s="1"/>
      <c r="U21" s="81"/>
    </row>
    <row r="22" customHeight="1" spans="1:21">
      <c r="A22" s="82">
        <v>16</v>
      </c>
      <c r="B22" s="114" t="s">
        <v>629</v>
      </c>
      <c r="C22" s="82" t="e">
        <f>VLOOKUP(B22,选手名单!B:I,5,0)</f>
        <v>#N/A</v>
      </c>
      <c r="D22" s="82" t="e">
        <f>VLOOKUP(B22,选手名单!B:I,2,0)</f>
        <v>#N/A</v>
      </c>
      <c r="E22" s="82" t="e">
        <f>VLOOKUP(B22,选手名单!B:I,4,0)</f>
        <v>#N/A</v>
      </c>
      <c r="F22" s="87" t="e">
        <f>VLOOKUP(B22,选手名单!B:I,6,0)</f>
        <v>#N/A</v>
      </c>
      <c r="G22" s="87"/>
      <c r="I22" s="101" t="s">
        <v>727</v>
      </c>
      <c r="J22" s="101">
        <f>SUM(J17:J21)</f>
        <v>329</v>
      </c>
      <c r="K22" s="104" t="s">
        <v>727</v>
      </c>
      <c r="L22" s="104">
        <f>SUM(L17:L21)</f>
        <v>312</v>
      </c>
      <c r="N22" s="41"/>
      <c r="O22" s="59"/>
      <c r="P22" s="58"/>
      <c r="R22" s="58"/>
      <c r="S22" s="60"/>
      <c r="T22" s="61" t="s">
        <v>172</v>
      </c>
      <c r="U22" s="81"/>
    </row>
    <row r="23" customHeight="1" spans="1:20">
      <c r="A23" s="82"/>
      <c r="B23" s="114" t="s">
        <v>355</v>
      </c>
      <c r="C23" s="82">
        <f>VLOOKUP(B23,选手名单!B:I,5,0)</f>
        <v>69</v>
      </c>
      <c r="D23" s="82">
        <f>VLOOKUP(B23,选手名单!B:I,2,0)</f>
        <v>206199816</v>
      </c>
      <c r="E23" s="82">
        <f>VLOOKUP(B23,选手名单!B:I,4,0)</f>
        <v>6500</v>
      </c>
      <c r="F23" s="87" t="str">
        <f>VLOOKUP(B23,选手名单!B:I,6,0)</f>
        <v>一,二</v>
      </c>
      <c r="G23" s="87" t="s">
        <v>799</v>
      </c>
      <c r="I23" s="100" t="s">
        <v>172</v>
      </c>
      <c r="J23" s="41"/>
      <c r="N23" s="49"/>
      <c r="O23" s="49"/>
      <c r="P23" s="49"/>
      <c r="R23" s="58"/>
      <c r="S23" s="60"/>
      <c r="T23" s="41"/>
    </row>
    <row r="24" customHeight="1" spans="1:20">
      <c r="A24" s="41"/>
      <c r="B24" s="114" t="s">
        <v>354</v>
      </c>
      <c r="C24" s="82">
        <f>VLOOKUP(B24,选手名单!B:I,5,0)</f>
        <v>70</v>
      </c>
      <c r="D24" s="82">
        <f>VLOOKUP(B24,选手名单!B:I,2,0)</f>
        <v>401464166</v>
      </c>
      <c r="E24" s="82">
        <f>VLOOKUP(B24,选手名单!B:I,4,0)</f>
        <v>6800</v>
      </c>
      <c r="F24" s="87" t="str">
        <f>VLOOKUP(B24,选手名单!B:I,6,0)</f>
        <v>一,二,三,四,五</v>
      </c>
      <c r="G24" s="41"/>
      <c r="I24" s="100" t="s">
        <v>172</v>
      </c>
      <c r="J24" s="100">
        <f>VLOOKUP(B9,选手名单!B:I,5,0)</f>
        <v>47</v>
      </c>
      <c r="N24" s="51"/>
      <c r="O24" s="58"/>
      <c r="P24" s="58"/>
      <c r="R24" s="58"/>
      <c r="S24" s="62"/>
      <c r="T24" s="41"/>
    </row>
    <row r="25" customHeight="1" spans="1:20">
      <c r="A25" s="41"/>
      <c r="B25" s="114" t="s">
        <v>150</v>
      </c>
      <c r="C25" s="82">
        <f>VLOOKUP(B25,选手名单!B:I,5,0)</f>
        <v>77</v>
      </c>
      <c r="D25" s="82">
        <f>VLOOKUP(B25,选手名单!B:I,2,0)</f>
        <v>885588023</v>
      </c>
      <c r="E25" s="82">
        <f>VLOOKUP(B25,选手名单!B:I,4,0)</f>
        <v>7000</v>
      </c>
      <c r="F25" s="87" t="str">
        <f>VLOOKUP(B25,选手名单!B:I,6,0)</f>
        <v>一,二,三,四,五</v>
      </c>
      <c r="G25" s="41"/>
      <c r="I25" s="100" t="s">
        <v>118</v>
      </c>
      <c r="J25" s="100">
        <f>VLOOKUP(B16,选手名单!B:I,5,0)</f>
        <v>63</v>
      </c>
      <c r="N25" s="54" t="s">
        <v>172</v>
      </c>
      <c r="O25" s="58"/>
      <c r="P25" s="58"/>
      <c r="R25" s="58"/>
      <c r="S25" s="60"/>
      <c r="T25" s="41"/>
    </row>
    <row r="26" customHeight="1" spans="1:20">
      <c r="A26" s="41"/>
      <c r="B26" s="114" t="s">
        <v>87</v>
      </c>
      <c r="C26" s="82">
        <f>VLOOKUP(B26,选手名单!B:I,5,0)</f>
        <v>75</v>
      </c>
      <c r="D26" s="82">
        <f>VLOOKUP(B26,选手名单!B:I,2,0)</f>
        <v>1259908216</v>
      </c>
      <c r="E26" s="82">
        <f>VLOOKUP(B26,选手名单!B:I,4,0)</f>
        <v>7500</v>
      </c>
      <c r="F26" s="87" t="str">
        <f>VLOOKUP(B26,选手名单!B:I,6,0)</f>
        <v>二</v>
      </c>
      <c r="G26" s="41"/>
      <c r="I26" s="100" t="s">
        <v>611</v>
      </c>
      <c r="J26" s="100" t="e">
        <f>VLOOKUP(B31,选手名单!B:I,5,0)</f>
        <v>#N/A</v>
      </c>
      <c r="N26" s="41"/>
      <c r="O26" s="59"/>
      <c r="P26" s="60"/>
      <c r="R26" s="58"/>
      <c r="S26" s="60"/>
      <c r="T26" s="58"/>
    </row>
    <row r="27" customHeight="1" spans="1:20">
      <c r="A27" s="82"/>
      <c r="B27" s="114" t="s">
        <v>101</v>
      </c>
      <c r="C27" s="82">
        <f>VLOOKUP(B27,选手名单!B:I,5,0)</f>
        <v>80</v>
      </c>
      <c r="D27" s="82">
        <f>VLOOKUP(B27,选手名单!B:I,2,0)</f>
        <v>164613165</v>
      </c>
      <c r="E27" s="82">
        <f>VLOOKUP(B27,选手名单!B:I,4,0)</f>
        <v>8000</v>
      </c>
      <c r="F27" s="87" t="str">
        <f>VLOOKUP(B27,选手名单!B:I,6,0)</f>
        <v>一</v>
      </c>
      <c r="G27" s="87"/>
      <c r="I27" s="100" t="s">
        <v>355</v>
      </c>
      <c r="J27" s="100">
        <v>71</v>
      </c>
      <c r="N27" s="42" t="s">
        <v>787</v>
      </c>
      <c r="O27" s="58"/>
      <c r="P27" s="60"/>
      <c r="Q27" s="61" t="s">
        <v>172</v>
      </c>
      <c r="R27" s="58"/>
      <c r="S27" s="60"/>
      <c r="T27" s="58"/>
    </row>
    <row r="28" customHeight="1" spans="1:20">
      <c r="A28" s="82">
        <v>2</v>
      </c>
      <c r="B28" s="114" t="s">
        <v>303</v>
      </c>
      <c r="C28" s="82">
        <f>VLOOKUP(B28,选手名单!B:I,5,0)</f>
        <v>80</v>
      </c>
      <c r="D28" s="82">
        <f>VLOOKUP(B28,选手名单!B:I,2,0)</f>
        <v>207704824</v>
      </c>
      <c r="E28" s="82">
        <f>VLOOKUP(B28,选手名单!B:I,4,0)</f>
        <v>8300</v>
      </c>
      <c r="F28" s="87" t="str">
        <f>VLOOKUP(B28,选手名单!B:I,6,0)</f>
        <v>一,二,四,五</v>
      </c>
      <c r="G28" s="87"/>
      <c r="I28" s="100" t="s">
        <v>421</v>
      </c>
      <c r="J28" s="100">
        <f>VLOOKUP(B11,选手名单!B:I,5,0)</f>
        <v>52</v>
      </c>
      <c r="O28" s="58"/>
      <c r="P28" s="62"/>
      <c r="Q28" s="41"/>
      <c r="R28" s="59"/>
      <c r="S28" s="58"/>
      <c r="T28" s="58"/>
    </row>
    <row r="29" customHeight="1" spans="1:20">
      <c r="A29" s="82">
        <v>13</v>
      </c>
      <c r="B29" s="114" t="s">
        <v>294</v>
      </c>
      <c r="C29" s="82">
        <f>VLOOKUP(B29,选手名单!B:I,5,0)</f>
        <v>83</v>
      </c>
      <c r="D29" s="82">
        <f>VLOOKUP(B29,选手名单!B:I,2,0)</f>
        <v>266088396</v>
      </c>
      <c r="E29" s="82">
        <f>VLOOKUP(B29,选手名单!B:I,4,0)</f>
        <v>8000</v>
      </c>
      <c r="F29" s="87" t="str">
        <f>VLOOKUP(B29,选手名单!B:I,6,0)</f>
        <v>三,四,五</v>
      </c>
      <c r="G29" s="87"/>
      <c r="I29" s="100" t="s">
        <v>727</v>
      </c>
      <c r="J29" s="100" t="e">
        <f>SUM(J24:J28)</f>
        <v>#N/A</v>
      </c>
      <c r="N29" s="55" t="s">
        <v>800</v>
      </c>
      <c r="O29" s="58"/>
      <c r="P29" s="60"/>
      <c r="Q29" s="1"/>
      <c r="R29" s="58"/>
      <c r="S29" s="58"/>
      <c r="T29" s="58"/>
    </row>
    <row r="30" customHeight="1" spans="1:20">
      <c r="A30" s="82">
        <v>9</v>
      </c>
      <c r="B30" s="114" t="s">
        <v>624</v>
      </c>
      <c r="C30" s="82" t="e">
        <f>VLOOKUP(B30,选手名单!B:I,5,0)</f>
        <v>#N/A</v>
      </c>
      <c r="D30" s="82" t="e">
        <f>VLOOKUP(B30,选手名单!B:I,2,0)</f>
        <v>#N/A</v>
      </c>
      <c r="E30" s="82" t="e">
        <f>VLOOKUP(B30,选手名单!B:I,4,0)</f>
        <v>#N/A</v>
      </c>
      <c r="F30" s="87" t="e">
        <f>VLOOKUP(B30,选手名单!B:I,6,0)</f>
        <v>#N/A</v>
      </c>
      <c r="G30" s="87" t="s">
        <v>626</v>
      </c>
      <c r="N30" s="41"/>
      <c r="O30" s="59"/>
      <c r="P30" s="58"/>
      <c r="Q30" s="1"/>
      <c r="R30" s="58"/>
      <c r="S30" s="58"/>
      <c r="T30" s="58"/>
    </row>
    <row r="31" customHeight="1" spans="1:7">
      <c r="A31" s="82">
        <v>10</v>
      </c>
      <c r="B31" s="114" t="s">
        <v>611</v>
      </c>
      <c r="C31" s="82" t="e">
        <f>VLOOKUP(B31,选手名单!B:I,5,0)</f>
        <v>#N/A</v>
      </c>
      <c r="D31" s="82" t="e">
        <f>VLOOKUP(B31,选手名单!B:I,2,0)</f>
        <v>#N/A</v>
      </c>
      <c r="E31" s="82" t="e">
        <f>VLOOKUP(B31,选手名单!B:I,4,0)</f>
        <v>#N/A</v>
      </c>
      <c r="F31" s="87" t="e">
        <f>VLOOKUP(B31,选手名单!B:I,6,0)</f>
        <v>#N/A</v>
      </c>
      <c r="G31" s="87"/>
    </row>
    <row r="32" customHeight="1" spans="1:7">
      <c r="A32" s="82">
        <v>22</v>
      </c>
      <c r="B32" s="114" t="s">
        <v>80</v>
      </c>
      <c r="C32" s="82">
        <f>VLOOKUP(B32,选手名单!B:I,5,0)</f>
        <v>84</v>
      </c>
      <c r="D32" s="82">
        <f>VLOOKUP(B32,选手名单!B:I,2,0)</f>
        <v>106964785</v>
      </c>
      <c r="E32" s="82">
        <f>VLOOKUP(B32,选手名单!B:I,4,0)</f>
        <v>8330</v>
      </c>
      <c r="F32" s="87" t="str">
        <f>VLOOKUP(B32,选手名单!B:I,6,0)</f>
        <v>一</v>
      </c>
      <c r="G32" s="87"/>
    </row>
    <row r="33" customHeight="1" spans="1:7">
      <c r="A33" s="82">
        <v>23</v>
      </c>
      <c r="B33" s="114" t="s">
        <v>138</v>
      </c>
      <c r="C33" s="82">
        <f>VLOOKUP(B33,选手名单!B:I,5,0)</f>
        <v>50</v>
      </c>
      <c r="D33" s="82">
        <f>VLOOKUP(B33,选手名单!B:I,2,0)</f>
        <v>178988576</v>
      </c>
      <c r="E33" s="82">
        <f>VLOOKUP(B33,选手名单!B:I,4,0)</f>
        <v>5000</v>
      </c>
      <c r="F33" s="87" t="str">
        <f>VLOOKUP(B33,选手名单!B:I,6,0)</f>
        <v>一,三</v>
      </c>
      <c r="G33" s="87"/>
    </row>
    <row r="34" customHeight="1" spans="1:7">
      <c r="A34" s="82">
        <v>3</v>
      </c>
      <c r="B34" s="114" t="s">
        <v>618</v>
      </c>
      <c r="C34" s="82" t="e">
        <f>VLOOKUP(B34,选手名单!B:I,5,0)</f>
        <v>#N/A</v>
      </c>
      <c r="D34" s="82" t="e">
        <f>VLOOKUP(B34,选手名单!B:I,2,0)</f>
        <v>#N/A</v>
      </c>
      <c r="E34" s="82" t="e">
        <f>VLOOKUP(B34,选手名单!B:I,4,0)</f>
        <v>#N/A</v>
      </c>
      <c r="F34" s="87" t="e">
        <f>VLOOKUP(B34,选手名单!B:I,6,0)</f>
        <v>#N/A</v>
      </c>
      <c r="G34" s="87"/>
    </row>
    <row r="35" customHeight="1" spans="1:7">
      <c r="A35" s="82"/>
      <c r="B35" s="114" t="s">
        <v>84</v>
      </c>
      <c r="C35" s="82">
        <f>VLOOKUP(B35,选手名单!B:I,5,0)</f>
        <v>90</v>
      </c>
      <c r="D35" s="82">
        <f>VLOOKUP(B35,选手名单!B:I,2,0)</f>
        <v>1004877057</v>
      </c>
      <c r="E35" s="82">
        <f>VLOOKUP(B35,选手名单!B:I,4,0)</f>
        <v>9000</v>
      </c>
      <c r="F35" s="41" t="str">
        <f>VLOOKUP(B35,选手名单!B:I,6,0)</f>
        <v>一,二,三,四</v>
      </c>
      <c r="G35" s="41"/>
    </row>
    <row r="36" customHeight="1" spans="1:7">
      <c r="A36" s="85">
        <v>21</v>
      </c>
      <c r="B36" s="86" t="s">
        <v>83</v>
      </c>
      <c r="C36" s="82">
        <f>VLOOKUP(B36,选手名单!B:I,5,0)</f>
        <v>90</v>
      </c>
      <c r="D36" s="82">
        <f>VLOOKUP(B36,选手名单!B:I,2,0)</f>
        <v>176191301</v>
      </c>
      <c r="E36" s="82">
        <f>VLOOKUP(B36,选手名单!B:I,4,0)</f>
        <v>8900</v>
      </c>
      <c r="F36" s="87" t="str">
        <f>VLOOKUP(B36,选手名单!B:I,6,0)</f>
        <v>二</v>
      </c>
      <c r="G36" s="87"/>
    </row>
  </sheetData>
  <mergeCells count="28">
    <mergeCell ref="I2:J2"/>
    <mergeCell ref="K2:L2"/>
    <mergeCell ref="I9:J9"/>
    <mergeCell ref="K9:L9"/>
    <mergeCell ref="I16:J16"/>
    <mergeCell ref="K16:L16"/>
    <mergeCell ref="I23:J23"/>
    <mergeCell ref="N2:N3"/>
    <mergeCell ref="N4:N5"/>
    <mergeCell ref="N6:N7"/>
    <mergeCell ref="N10:N11"/>
    <mergeCell ref="N12:N13"/>
    <mergeCell ref="N14:N15"/>
    <mergeCell ref="N17:N18"/>
    <mergeCell ref="N19:N20"/>
    <mergeCell ref="N21:N22"/>
    <mergeCell ref="N25:N26"/>
    <mergeCell ref="N27:N28"/>
    <mergeCell ref="N29:N30"/>
    <mergeCell ref="Q4:Q5"/>
    <mergeCell ref="Q6:Q11"/>
    <mergeCell ref="Q12:Q13"/>
    <mergeCell ref="Q19:Q20"/>
    <mergeCell ref="Q21:Q26"/>
    <mergeCell ref="Q27:Q28"/>
    <mergeCell ref="T7:T10"/>
    <mergeCell ref="T22:T25"/>
    <mergeCell ref="W13:W17"/>
  </mergeCells>
  <conditionalFormatting sqref="C2:C3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.10内战"/>
  <dimension ref="A1:AA41"/>
  <sheetViews>
    <sheetView workbookViewId="0">
      <selection activeCell="A1" sqref="A1"/>
    </sheetView>
  </sheetViews>
  <sheetFormatPr defaultColWidth="14" defaultRowHeight="18" customHeight="1"/>
  <cols>
    <col min="8" max="8" width="34.8046875" customWidth="1"/>
  </cols>
  <sheetData>
    <row r="1" customHeight="1" spans="1:8">
      <c r="A1" s="107" t="s">
        <v>271</v>
      </c>
      <c r="B1" s="107" t="s">
        <v>272</v>
      </c>
      <c r="C1" s="107" t="s">
        <v>270</v>
      </c>
      <c r="D1" s="107" t="s">
        <v>70</v>
      </c>
      <c r="E1" s="107" t="s">
        <v>721</v>
      </c>
      <c r="F1" s="107" t="s">
        <v>226</v>
      </c>
      <c r="G1" s="107" t="s">
        <v>227</v>
      </c>
      <c r="H1" s="107" t="s">
        <v>74</v>
      </c>
    </row>
    <row r="2" customHeight="1" spans="2:22">
      <c r="B2" s="1" t="s">
        <v>274</v>
      </c>
      <c r="C2" s="108" t="s">
        <v>83</v>
      </c>
      <c r="D2" s="1">
        <v>9500</v>
      </c>
      <c r="E2" s="1"/>
      <c r="F2" s="4" t="s">
        <v>97</v>
      </c>
      <c r="G2" s="92" t="s">
        <v>275</v>
      </c>
      <c r="H2" s="1" t="s">
        <v>228</v>
      </c>
      <c r="I2" s="99" t="s">
        <v>618</v>
      </c>
      <c r="J2" s="41"/>
      <c r="K2" s="67" t="s">
        <v>228</v>
      </c>
      <c r="L2" s="41"/>
      <c r="M2" s="100" t="s">
        <v>801</v>
      </c>
      <c r="N2" s="41"/>
      <c r="P2" s="61" t="s">
        <v>618</v>
      </c>
      <c r="Q2" s="58"/>
      <c r="R2" s="58"/>
      <c r="S2" s="1"/>
      <c r="T2" s="58"/>
      <c r="U2" s="58"/>
      <c r="V2" s="95"/>
    </row>
    <row r="3" customHeight="1" spans="1:22">
      <c r="A3" s="1">
        <v>289399762</v>
      </c>
      <c r="B3" s="1"/>
      <c r="C3" s="108" t="s">
        <v>618</v>
      </c>
      <c r="D3" s="1">
        <v>9000</v>
      </c>
      <c r="E3" s="1"/>
      <c r="F3" s="4" t="s">
        <v>97</v>
      </c>
      <c r="G3" s="92" t="s">
        <v>283</v>
      </c>
      <c r="H3" s="1" t="s">
        <v>235</v>
      </c>
      <c r="I3" s="99" t="s">
        <v>618</v>
      </c>
      <c r="J3" s="99">
        <v>9000</v>
      </c>
      <c r="K3" s="69" t="s">
        <v>83</v>
      </c>
      <c r="L3" s="69">
        <v>9500</v>
      </c>
      <c r="M3" s="100" t="s">
        <v>611</v>
      </c>
      <c r="N3" s="100">
        <v>8400</v>
      </c>
      <c r="P3" s="41"/>
      <c r="Q3" s="59"/>
      <c r="R3" s="60"/>
      <c r="S3" s="51"/>
      <c r="T3" s="58"/>
      <c r="U3" s="58"/>
      <c r="V3" s="95"/>
    </row>
    <row r="4" customHeight="1" spans="1:22">
      <c r="A4" s="1">
        <v>381057664</v>
      </c>
      <c r="B4" s="1" t="s">
        <v>131</v>
      </c>
      <c r="C4" s="108" t="s">
        <v>624</v>
      </c>
      <c r="D4" s="1">
        <v>8500</v>
      </c>
      <c r="F4" s="4" t="s">
        <v>236</v>
      </c>
      <c r="G4" s="92" t="s">
        <v>283</v>
      </c>
      <c r="H4" s="1" t="s">
        <v>237</v>
      </c>
      <c r="I4" s="99">
        <v>21</v>
      </c>
      <c r="J4" s="99">
        <v>6800</v>
      </c>
      <c r="K4" s="69" t="s">
        <v>124</v>
      </c>
      <c r="L4" s="69">
        <v>4620</v>
      </c>
      <c r="M4" s="100" t="s">
        <v>333</v>
      </c>
      <c r="N4" s="100">
        <v>7500</v>
      </c>
      <c r="P4" s="76" t="s">
        <v>787</v>
      </c>
      <c r="Q4" s="58"/>
      <c r="R4" s="60"/>
      <c r="S4" s="61" t="s">
        <v>618</v>
      </c>
      <c r="T4" s="58"/>
      <c r="U4" s="58"/>
      <c r="V4" s="95"/>
    </row>
    <row r="5" customHeight="1" spans="2:22">
      <c r="B5" s="1" t="s">
        <v>85</v>
      </c>
      <c r="C5" s="108" t="s">
        <v>611</v>
      </c>
      <c r="D5" s="1">
        <v>8400</v>
      </c>
      <c r="E5" s="1"/>
      <c r="F5" s="4" t="s">
        <v>81</v>
      </c>
      <c r="G5" s="92" t="s">
        <v>283</v>
      </c>
      <c r="I5" s="99" t="s">
        <v>360</v>
      </c>
      <c r="J5" s="99">
        <v>6000</v>
      </c>
      <c r="K5" s="69" t="s">
        <v>322</v>
      </c>
      <c r="L5" s="69">
        <v>7700</v>
      </c>
      <c r="M5" s="100" t="s">
        <v>410</v>
      </c>
      <c r="N5" s="100">
        <v>5800</v>
      </c>
      <c r="Q5" s="58"/>
      <c r="R5" s="62"/>
      <c r="S5" s="41"/>
      <c r="T5" s="59"/>
      <c r="U5" s="60"/>
      <c r="V5" s="95"/>
    </row>
    <row r="6" customHeight="1" spans="1:22">
      <c r="A6" s="1">
        <v>106964785</v>
      </c>
      <c r="B6" s="1" t="s">
        <v>80</v>
      </c>
      <c r="C6" s="108" t="s">
        <v>80</v>
      </c>
      <c r="D6" s="1">
        <v>8390</v>
      </c>
      <c r="E6" s="1"/>
      <c r="F6" s="4" t="s">
        <v>76</v>
      </c>
      <c r="G6" s="92" t="s">
        <v>320</v>
      </c>
      <c r="H6" s="1" t="s">
        <v>291</v>
      </c>
      <c r="I6" s="99" t="s">
        <v>427</v>
      </c>
      <c r="J6" s="99">
        <v>4900</v>
      </c>
      <c r="K6" s="69" t="s">
        <v>451</v>
      </c>
      <c r="L6" s="69">
        <v>4700</v>
      </c>
      <c r="M6" s="100" t="s">
        <v>100</v>
      </c>
      <c r="N6" s="100">
        <v>5300</v>
      </c>
      <c r="P6" s="77" t="s">
        <v>626</v>
      </c>
      <c r="Q6" s="58"/>
      <c r="R6" s="60"/>
      <c r="S6" s="42" t="s">
        <v>787</v>
      </c>
      <c r="T6" s="58"/>
      <c r="U6" s="60"/>
      <c r="V6" s="42"/>
    </row>
    <row r="7" customHeight="1" spans="1:22">
      <c r="A7" s="1">
        <v>207704824</v>
      </c>
      <c r="B7" s="1" t="s">
        <v>802</v>
      </c>
      <c r="C7" s="109" t="s">
        <v>303</v>
      </c>
      <c r="D7" s="1">
        <v>8300</v>
      </c>
      <c r="E7" s="1"/>
      <c r="F7" s="4" t="s">
        <v>248</v>
      </c>
      <c r="G7" s="92" t="s">
        <v>283</v>
      </c>
      <c r="H7" s="1" t="s">
        <v>803</v>
      </c>
      <c r="I7" s="99" t="s">
        <v>143</v>
      </c>
      <c r="J7" s="99">
        <v>2000</v>
      </c>
      <c r="K7" s="69" t="s">
        <v>522</v>
      </c>
      <c r="L7" s="69">
        <v>4500</v>
      </c>
      <c r="M7" s="100" t="s">
        <v>559</v>
      </c>
      <c r="N7" s="100">
        <v>3000</v>
      </c>
      <c r="P7" s="41"/>
      <c r="Q7" s="59"/>
      <c r="R7" s="58"/>
      <c r="T7" s="58"/>
      <c r="U7" s="60"/>
      <c r="V7" s="77" t="s">
        <v>228</v>
      </c>
    </row>
    <row r="8" customHeight="1" spans="1:22">
      <c r="A8" s="1">
        <v>187933845</v>
      </c>
      <c r="B8" s="1" t="s">
        <v>107</v>
      </c>
      <c r="C8" s="108" t="s">
        <v>107</v>
      </c>
      <c r="D8" s="1">
        <v>8100</v>
      </c>
      <c r="E8" s="1"/>
      <c r="F8" s="4" t="s">
        <v>231</v>
      </c>
      <c r="G8" s="92" t="s">
        <v>283</v>
      </c>
      <c r="H8" s="1" t="s">
        <v>232</v>
      </c>
      <c r="I8" s="99" t="s">
        <v>727</v>
      </c>
      <c r="J8" s="99">
        <f>SUM(J3:J7)</f>
        <v>28700</v>
      </c>
      <c r="K8" s="67" t="s">
        <v>727</v>
      </c>
      <c r="L8" s="67">
        <f>SUM(L3:L7)</f>
        <v>31020</v>
      </c>
      <c r="M8" s="100" t="s">
        <v>727</v>
      </c>
      <c r="N8" s="100">
        <f>SUM(N3:N7)</f>
        <v>30000</v>
      </c>
      <c r="P8" s="78"/>
      <c r="Q8" s="49"/>
      <c r="R8" s="49"/>
      <c r="T8" s="58"/>
      <c r="U8" s="60"/>
      <c r="V8" s="41"/>
    </row>
    <row r="9" customHeight="1" spans="1:23">
      <c r="A9" s="1">
        <v>164613165</v>
      </c>
      <c r="B9" s="1" t="s">
        <v>308</v>
      </c>
      <c r="C9" s="108" t="s">
        <v>101</v>
      </c>
      <c r="D9" s="1">
        <v>8000</v>
      </c>
      <c r="E9" s="1"/>
      <c r="F9" s="4" t="s">
        <v>76</v>
      </c>
      <c r="G9" s="92" t="s">
        <v>283</v>
      </c>
      <c r="I9" s="68" t="s">
        <v>80</v>
      </c>
      <c r="J9" s="41"/>
      <c r="K9" s="101" t="s">
        <v>315</v>
      </c>
      <c r="L9" s="41"/>
      <c r="M9" s="104" t="s">
        <v>626</v>
      </c>
      <c r="N9" s="41"/>
      <c r="P9" s="61" t="s">
        <v>228</v>
      </c>
      <c r="Q9" s="58"/>
      <c r="R9" s="58"/>
      <c r="T9" s="58"/>
      <c r="U9" s="62"/>
      <c r="V9" s="41"/>
      <c r="W9" s="80"/>
    </row>
    <row r="10" customHeight="1" spans="1:23">
      <c r="A10" s="1">
        <v>266088396</v>
      </c>
      <c r="B10" s="1" t="s">
        <v>295</v>
      </c>
      <c r="C10" s="109" t="s">
        <v>294</v>
      </c>
      <c r="D10" s="1">
        <v>8000</v>
      </c>
      <c r="E10" s="1"/>
      <c r="F10" s="4" t="s">
        <v>238</v>
      </c>
      <c r="G10" s="92" t="s">
        <v>283</v>
      </c>
      <c r="H10" s="1" t="s">
        <v>90</v>
      </c>
      <c r="I10" s="68" t="s">
        <v>80</v>
      </c>
      <c r="J10" s="68">
        <v>8390</v>
      </c>
      <c r="K10" s="101" t="s">
        <v>315</v>
      </c>
      <c r="L10" s="101">
        <v>7700</v>
      </c>
      <c r="M10" s="104" t="s">
        <v>624</v>
      </c>
      <c r="N10" s="104">
        <v>8500</v>
      </c>
      <c r="P10" s="41"/>
      <c r="Q10" s="59"/>
      <c r="R10" s="60"/>
      <c r="T10" s="58"/>
      <c r="U10" s="60"/>
      <c r="V10" s="41"/>
      <c r="W10" s="81"/>
    </row>
    <row r="11" customHeight="1" spans="1:23">
      <c r="A11" s="1">
        <v>383560624</v>
      </c>
      <c r="B11" s="1" t="s">
        <v>314</v>
      </c>
      <c r="C11" s="109" t="s">
        <v>104</v>
      </c>
      <c r="D11" s="1">
        <v>7700</v>
      </c>
      <c r="E11" s="1"/>
      <c r="F11" s="4" t="s">
        <v>240</v>
      </c>
      <c r="G11" s="92" t="s">
        <v>283</v>
      </c>
      <c r="H11" s="1" t="s">
        <v>106</v>
      </c>
      <c r="I11" s="68" t="s">
        <v>294</v>
      </c>
      <c r="J11" s="68">
        <v>8000</v>
      </c>
      <c r="K11" s="101" t="s">
        <v>303</v>
      </c>
      <c r="L11" s="101">
        <v>8300</v>
      </c>
      <c r="M11" s="104" t="s">
        <v>623</v>
      </c>
      <c r="N11" s="104">
        <v>6800</v>
      </c>
      <c r="P11" s="76" t="s">
        <v>787</v>
      </c>
      <c r="Q11" s="58"/>
      <c r="R11" s="60"/>
      <c r="S11" s="77" t="s">
        <v>228</v>
      </c>
      <c r="T11" s="58"/>
      <c r="U11" s="60"/>
      <c r="V11" s="95" t="s">
        <v>787</v>
      </c>
      <c r="W11" s="81"/>
    </row>
    <row r="12" customHeight="1" spans="1:25">
      <c r="A12" s="1">
        <v>136495866</v>
      </c>
      <c r="B12" s="1" t="s">
        <v>316</v>
      </c>
      <c r="C12" s="108" t="s">
        <v>315</v>
      </c>
      <c r="D12" s="1">
        <v>7700</v>
      </c>
      <c r="E12" s="1"/>
      <c r="F12" s="4" t="s">
        <v>97</v>
      </c>
      <c r="G12" s="92" t="s">
        <v>283</v>
      </c>
      <c r="H12" s="1"/>
      <c r="I12" s="68" t="s">
        <v>486</v>
      </c>
      <c r="J12" s="68">
        <v>4000</v>
      </c>
      <c r="K12" s="101" t="s">
        <v>615</v>
      </c>
      <c r="L12" s="101">
        <v>4400</v>
      </c>
      <c r="M12" s="104" t="s">
        <v>394</v>
      </c>
      <c r="N12" s="104">
        <v>6200</v>
      </c>
      <c r="Q12" s="58"/>
      <c r="R12" s="62"/>
      <c r="S12" s="41"/>
      <c r="T12" s="59"/>
      <c r="U12" s="58"/>
      <c r="W12" s="81"/>
      <c r="Y12" s="3" t="s">
        <v>730</v>
      </c>
    </row>
    <row r="13" customHeight="1" spans="1:27">
      <c r="A13" s="1">
        <v>168741476</v>
      </c>
      <c r="B13" s="1" t="s">
        <v>323</v>
      </c>
      <c r="C13" s="109" t="s">
        <v>322</v>
      </c>
      <c r="D13" s="1">
        <v>7700</v>
      </c>
      <c r="F13" s="4" t="s">
        <v>263</v>
      </c>
      <c r="G13" s="92" t="s">
        <v>283</v>
      </c>
      <c r="H13" s="1" t="s">
        <v>324</v>
      </c>
      <c r="I13" s="68" t="s">
        <v>340</v>
      </c>
      <c r="J13" s="68">
        <v>6500</v>
      </c>
      <c r="K13" s="101" t="s">
        <v>331</v>
      </c>
      <c r="L13" s="101">
        <v>6400</v>
      </c>
      <c r="M13" s="104" t="s">
        <v>529</v>
      </c>
      <c r="N13" s="104">
        <v>4000</v>
      </c>
      <c r="P13" s="77" t="s">
        <v>801</v>
      </c>
      <c r="Q13" s="58"/>
      <c r="R13" s="60"/>
      <c r="S13" s="1"/>
      <c r="T13" s="58"/>
      <c r="U13" s="58"/>
      <c r="W13" s="81"/>
      <c r="Y13" s="77" t="s">
        <v>80</v>
      </c>
      <c r="Z13" s="68" t="s">
        <v>80</v>
      </c>
      <c r="AA13" s="68">
        <v>8390</v>
      </c>
    </row>
    <row r="14" customHeight="1" spans="1:27">
      <c r="A14" s="1">
        <v>299025900</v>
      </c>
      <c r="B14" s="1" t="s">
        <v>334</v>
      </c>
      <c r="C14" s="109" t="s">
        <v>333</v>
      </c>
      <c r="D14" s="1">
        <v>7500</v>
      </c>
      <c r="F14" s="4" t="s">
        <v>97</v>
      </c>
      <c r="G14" s="92" t="s">
        <v>283</v>
      </c>
      <c r="H14" s="1" t="s">
        <v>335</v>
      </c>
      <c r="I14" s="68" t="s">
        <v>99</v>
      </c>
      <c r="J14" s="68">
        <v>3800</v>
      </c>
      <c r="K14" s="101" t="s">
        <v>179</v>
      </c>
      <c r="L14" s="101">
        <v>4000</v>
      </c>
      <c r="M14" s="104" t="s">
        <v>421</v>
      </c>
      <c r="N14" s="104">
        <v>5000</v>
      </c>
      <c r="P14" s="41"/>
      <c r="Q14" s="59"/>
      <c r="R14" s="58"/>
      <c r="S14" s="1"/>
      <c r="T14" s="58"/>
      <c r="U14" s="58"/>
      <c r="W14" s="81"/>
      <c r="Y14" s="105"/>
      <c r="Z14" s="68" t="s">
        <v>294</v>
      </c>
      <c r="AA14" s="68">
        <v>8000</v>
      </c>
    </row>
    <row r="15" customHeight="1" spans="1:27">
      <c r="A15" s="1">
        <v>885588023</v>
      </c>
      <c r="B15" s="1" t="s">
        <v>317</v>
      </c>
      <c r="C15" s="109" t="s">
        <v>150</v>
      </c>
      <c r="D15" s="1">
        <v>7000</v>
      </c>
      <c r="F15" s="4" t="s">
        <v>241</v>
      </c>
      <c r="G15" s="92" t="s">
        <v>283</v>
      </c>
      <c r="H15" s="1" t="s">
        <v>242</v>
      </c>
      <c r="I15" s="68" t="s">
        <v>727</v>
      </c>
      <c r="J15" s="68">
        <f>SUM(J10:J14)</f>
        <v>30690</v>
      </c>
      <c r="K15" s="101" t="s">
        <v>727</v>
      </c>
      <c r="L15" s="101">
        <f>SUM(L10:L14)</f>
        <v>30800</v>
      </c>
      <c r="M15" s="104" t="s">
        <v>727</v>
      </c>
      <c r="N15" s="104">
        <f>SUM(N10:N14)</f>
        <v>30500</v>
      </c>
      <c r="W15" s="81"/>
      <c r="X15" t="s">
        <v>745</v>
      </c>
      <c r="Y15" s="105"/>
      <c r="Z15" s="68" t="s">
        <v>486</v>
      </c>
      <c r="AA15" s="68">
        <v>4000</v>
      </c>
    </row>
    <row r="16" customHeight="1" spans="1:27">
      <c r="A16" s="1">
        <v>277443592</v>
      </c>
      <c r="B16" s="1">
        <v>21</v>
      </c>
      <c r="C16" s="109">
        <v>21</v>
      </c>
      <c r="D16" s="1">
        <v>6800</v>
      </c>
      <c r="E16" s="1"/>
      <c r="F16" s="4" t="s">
        <v>76</v>
      </c>
      <c r="G16" s="92" t="s">
        <v>283</v>
      </c>
      <c r="H16" s="1" t="s">
        <v>246</v>
      </c>
      <c r="I16" s="71" t="s">
        <v>107</v>
      </c>
      <c r="J16" s="41"/>
      <c r="K16" s="102" t="s">
        <v>101</v>
      </c>
      <c r="L16" s="41"/>
      <c r="P16" s="61" t="s">
        <v>80</v>
      </c>
      <c r="Q16" s="58"/>
      <c r="R16" s="58"/>
      <c r="S16" s="1"/>
      <c r="T16" s="58"/>
      <c r="U16" s="58"/>
      <c r="W16" s="81"/>
      <c r="Y16" s="105"/>
      <c r="Z16" s="68" t="s">
        <v>340</v>
      </c>
      <c r="AA16" s="68">
        <v>6500</v>
      </c>
    </row>
    <row r="17" customHeight="1" spans="1:27">
      <c r="A17" s="1">
        <v>401464166</v>
      </c>
      <c r="B17" s="1" t="s">
        <v>354</v>
      </c>
      <c r="C17" s="109" t="s">
        <v>623</v>
      </c>
      <c r="D17" s="1">
        <v>6800</v>
      </c>
      <c r="F17" s="4" t="s">
        <v>241</v>
      </c>
      <c r="G17" s="92" t="s">
        <v>283</v>
      </c>
      <c r="H17" s="1" t="s">
        <v>125</v>
      </c>
      <c r="I17" s="71" t="s">
        <v>107</v>
      </c>
      <c r="J17" s="71">
        <v>8100</v>
      </c>
      <c r="K17" s="103" t="s">
        <v>101</v>
      </c>
      <c r="L17" s="103">
        <v>8000</v>
      </c>
      <c r="P17" s="41"/>
      <c r="Q17" s="59"/>
      <c r="R17" s="60"/>
      <c r="S17" s="51"/>
      <c r="T17" s="58"/>
      <c r="U17" s="58"/>
      <c r="W17" s="81"/>
      <c r="Y17" s="106"/>
      <c r="Z17" s="68" t="s">
        <v>99</v>
      </c>
      <c r="AA17" s="68">
        <v>3800</v>
      </c>
    </row>
    <row r="18" customHeight="1" spans="1:23">
      <c r="A18" s="1">
        <v>355328125</v>
      </c>
      <c r="B18" s="1" t="s">
        <v>250</v>
      </c>
      <c r="C18" s="109" t="s">
        <v>250</v>
      </c>
      <c r="D18" s="1">
        <v>6649</v>
      </c>
      <c r="E18" s="1"/>
      <c r="F18" s="4" t="s">
        <v>81</v>
      </c>
      <c r="G18" s="92" t="s">
        <v>277</v>
      </c>
      <c r="H18" s="1" t="s">
        <v>804</v>
      </c>
      <c r="I18" s="71" t="s">
        <v>104</v>
      </c>
      <c r="J18" s="71">
        <v>7700</v>
      </c>
      <c r="K18" s="103" t="s">
        <v>150</v>
      </c>
      <c r="L18" s="103">
        <v>7000</v>
      </c>
      <c r="P18" s="76" t="s">
        <v>787</v>
      </c>
      <c r="Q18" s="58"/>
      <c r="R18" s="60"/>
      <c r="S18" s="61" t="s">
        <v>80</v>
      </c>
      <c r="T18" s="58"/>
      <c r="U18" s="58"/>
      <c r="W18" s="81"/>
    </row>
    <row r="19" customHeight="1" spans="1:23">
      <c r="A19" s="1">
        <v>849019725</v>
      </c>
      <c r="B19" s="1" t="s">
        <v>341</v>
      </c>
      <c r="C19" s="109" t="s">
        <v>340</v>
      </c>
      <c r="D19" s="1">
        <v>6500</v>
      </c>
      <c r="E19" s="1"/>
      <c r="F19" s="4" t="s">
        <v>97</v>
      </c>
      <c r="G19" s="92" t="s">
        <v>283</v>
      </c>
      <c r="H19" s="1" t="s">
        <v>342</v>
      </c>
      <c r="I19" s="71" t="s">
        <v>255</v>
      </c>
      <c r="J19" s="71">
        <v>5900</v>
      </c>
      <c r="K19" s="103" t="s">
        <v>250</v>
      </c>
      <c r="L19" s="103">
        <v>6649</v>
      </c>
      <c r="Q19" s="58"/>
      <c r="R19" s="62"/>
      <c r="S19" s="41"/>
      <c r="T19" s="59"/>
      <c r="U19" s="60"/>
      <c r="W19" s="81"/>
    </row>
    <row r="20" customHeight="1" spans="2:23">
      <c r="B20" s="1"/>
      <c r="C20" s="109" t="s">
        <v>331</v>
      </c>
      <c r="D20" s="1">
        <v>6400</v>
      </c>
      <c r="E20" s="1"/>
      <c r="F20" s="4" t="s">
        <v>76</v>
      </c>
      <c r="G20" s="92" t="s">
        <v>283</v>
      </c>
      <c r="I20" s="71" t="s">
        <v>253</v>
      </c>
      <c r="J20" s="71">
        <v>5000</v>
      </c>
      <c r="K20" s="103" t="s">
        <v>805</v>
      </c>
      <c r="L20" s="103">
        <v>6400</v>
      </c>
      <c r="P20" s="77" t="s">
        <v>315</v>
      </c>
      <c r="Q20" s="58"/>
      <c r="R20" s="60"/>
      <c r="S20" s="42" t="s">
        <v>787</v>
      </c>
      <c r="T20" s="58"/>
      <c r="U20" s="60"/>
      <c r="W20" s="81"/>
    </row>
    <row r="21" customHeight="1" spans="1:23">
      <c r="A21" s="1">
        <v>320347996</v>
      </c>
      <c r="B21" s="1" t="s">
        <v>371</v>
      </c>
      <c r="C21" s="109" t="s">
        <v>805</v>
      </c>
      <c r="D21" s="1">
        <v>6400</v>
      </c>
      <c r="F21" s="4" t="s">
        <v>243</v>
      </c>
      <c r="G21" s="92" t="s">
        <v>283</v>
      </c>
      <c r="H21" s="1" t="s">
        <v>372</v>
      </c>
      <c r="I21" s="71" t="s">
        <v>471</v>
      </c>
      <c r="J21" s="71">
        <v>4500</v>
      </c>
      <c r="K21" s="103" t="s">
        <v>187</v>
      </c>
      <c r="L21" s="103">
        <v>2900</v>
      </c>
      <c r="P21" s="41"/>
      <c r="Q21" s="59"/>
      <c r="R21" s="58"/>
      <c r="T21" s="58"/>
      <c r="U21" s="60"/>
      <c r="V21" s="77" t="s">
        <v>80</v>
      </c>
      <c r="W21" s="81"/>
    </row>
    <row r="22" customHeight="1" spans="1:23">
      <c r="A22" s="1">
        <v>1255409177</v>
      </c>
      <c r="B22" s="1" t="s">
        <v>395</v>
      </c>
      <c r="C22" s="109" t="s">
        <v>394</v>
      </c>
      <c r="D22" s="1">
        <v>6200</v>
      </c>
      <c r="E22" s="1"/>
      <c r="F22" s="4" t="s">
        <v>81</v>
      </c>
      <c r="G22" s="92" t="s">
        <v>283</v>
      </c>
      <c r="H22" s="1" t="s">
        <v>258</v>
      </c>
      <c r="I22" s="71" t="s">
        <v>727</v>
      </c>
      <c r="J22" s="71">
        <f>SUM(J17:J21)</f>
        <v>31200</v>
      </c>
      <c r="K22" s="102" t="s">
        <v>727</v>
      </c>
      <c r="L22" s="102">
        <f>SUM(L17:L21)</f>
        <v>30949</v>
      </c>
      <c r="P22" s="78"/>
      <c r="Q22" s="49"/>
      <c r="R22" s="49"/>
      <c r="T22" s="58"/>
      <c r="U22" s="60"/>
      <c r="V22" s="41"/>
      <c r="W22" s="81"/>
    </row>
    <row r="23" customHeight="1" spans="1:23">
      <c r="A23" s="1">
        <v>122810642</v>
      </c>
      <c r="B23" s="1" t="s">
        <v>361</v>
      </c>
      <c r="C23" s="109" t="s">
        <v>360</v>
      </c>
      <c r="D23" s="1">
        <v>6000</v>
      </c>
      <c r="F23" s="4" t="s">
        <v>241</v>
      </c>
      <c r="G23" s="92" t="s">
        <v>283</v>
      </c>
      <c r="H23" s="1" t="s">
        <v>128</v>
      </c>
      <c r="P23" s="61" t="s">
        <v>107</v>
      </c>
      <c r="Q23" s="58"/>
      <c r="R23" s="58"/>
      <c r="T23" s="58"/>
      <c r="U23" s="62"/>
      <c r="V23" s="41"/>
      <c r="W23" s="83"/>
    </row>
    <row r="24" customHeight="1" spans="1:22">
      <c r="A24" s="1">
        <v>255882400</v>
      </c>
      <c r="B24" s="1" t="s">
        <v>255</v>
      </c>
      <c r="C24" s="109" t="s">
        <v>255</v>
      </c>
      <c r="D24" s="1">
        <v>5900</v>
      </c>
      <c r="E24" s="1"/>
      <c r="F24" s="4" t="s">
        <v>240</v>
      </c>
      <c r="G24" s="92" t="s">
        <v>283</v>
      </c>
      <c r="H24" s="1" t="s">
        <v>806</v>
      </c>
      <c r="P24" s="41"/>
      <c r="Q24" s="59"/>
      <c r="R24" s="60"/>
      <c r="T24" s="58"/>
      <c r="U24" s="60"/>
      <c r="V24" s="41"/>
    </row>
    <row r="25" customHeight="1" spans="1:22">
      <c r="A25" s="1">
        <v>207370853</v>
      </c>
      <c r="B25" s="1" t="s">
        <v>411</v>
      </c>
      <c r="C25" s="109" t="s">
        <v>410</v>
      </c>
      <c r="D25" s="1">
        <v>5800</v>
      </c>
      <c r="E25" s="1"/>
      <c r="F25" s="4" t="s">
        <v>241</v>
      </c>
      <c r="G25" s="92" t="s">
        <v>283</v>
      </c>
      <c r="H25" s="1" t="s">
        <v>183</v>
      </c>
      <c r="P25" s="76" t="s">
        <v>787</v>
      </c>
      <c r="Q25" s="58"/>
      <c r="R25" s="60"/>
      <c r="S25" s="77" t="s">
        <v>107</v>
      </c>
      <c r="T25" s="58"/>
      <c r="U25" s="60"/>
      <c r="V25" s="95"/>
    </row>
    <row r="26" customHeight="1" spans="1:22">
      <c r="A26" s="1">
        <v>189497913</v>
      </c>
      <c r="B26" s="1" t="s">
        <v>100</v>
      </c>
      <c r="C26" s="109" t="s">
        <v>100</v>
      </c>
      <c r="D26" s="1">
        <v>5300</v>
      </c>
      <c r="F26" s="4" t="s">
        <v>241</v>
      </c>
      <c r="G26" s="92" t="s">
        <v>283</v>
      </c>
      <c r="H26" s="1" t="s">
        <v>164</v>
      </c>
      <c r="Q26" s="58"/>
      <c r="R26" s="62"/>
      <c r="S26" s="41"/>
      <c r="T26" s="59"/>
      <c r="U26" s="58"/>
      <c r="V26" s="95"/>
    </row>
    <row r="27" customHeight="1" spans="1:22">
      <c r="A27" s="1">
        <v>206673798</v>
      </c>
      <c r="B27" s="1" t="s">
        <v>807</v>
      </c>
      <c r="C27" s="109" t="s">
        <v>253</v>
      </c>
      <c r="D27" s="1">
        <v>5000</v>
      </c>
      <c r="F27" s="4" t="s">
        <v>382</v>
      </c>
      <c r="G27" s="92" t="s">
        <v>283</v>
      </c>
      <c r="H27" s="1" t="s">
        <v>808</v>
      </c>
      <c r="P27" s="77" t="s">
        <v>101</v>
      </c>
      <c r="Q27" s="58"/>
      <c r="R27" s="60"/>
      <c r="S27" s="1"/>
      <c r="T27" s="58"/>
      <c r="U27" s="58"/>
      <c r="V27" s="95"/>
    </row>
    <row r="28" customHeight="1" spans="1:22">
      <c r="A28" s="1">
        <v>138862706</v>
      </c>
      <c r="B28" s="1" t="s">
        <v>421</v>
      </c>
      <c r="C28" s="109" t="s">
        <v>421</v>
      </c>
      <c r="D28" s="1">
        <v>5000</v>
      </c>
      <c r="E28" s="1"/>
      <c r="F28" s="4" t="s">
        <v>260</v>
      </c>
      <c r="G28" s="92" t="s">
        <v>283</v>
      </c>
      <c r="H28" s="1" t="s">
        <v>423</v>
      </c>
      <c r="P28" s="41"/>
      <c r="Q28" s="59"/>
      <c r="R28" s="58"/>
      <c r="S28" s="1"/>
      <c r="T28" s="58"/>
      <c r="U28" s="58"/>
      <c r="V28" s="95"/>
    </row>
    <row r="29" customHeight="1" spans="1:22">
      <c r="A29" s="1">
        <v>140594695</v>
      </c>
      <c r="B29" s="1" t="s">
        <v>117</v>
      </c>
      <c r="C29" s="109" t="s">
        <v>427</v>
      </c>
      <c r="D29" s="1">
        <v>4900</v>
      </c>
      <c r="E29" s="1"/>
      <c r="F29" s="4" t="s">
        <v>267</v>
      </c>
      <c r="G29" s="92" t="s">
        <v>277</v>
      </c>
      <c r="H29" s="1" t="s">
        <v>809</v>
      </c>
      <c r="V29" s="95"/>
    </row>
    <row r="30" customHeight="1" spans="1:8">
      <c r="A30" s="1">
        <v>250268031</v>
      </c>
      <c r="B30" s="1"/>
      <c r="C30" s="109" t="s">
        <v>451</v>
      </c>
      <c r="D30" s="1">
        <v>4700</v>
      </c>
      <c r="E30" s="1"/>
      <c r="F30" s="4" t="s">
        <v>76</v>
      </c>
      <c r="G30" s="92" t="s">
        <v>275</v>
      </c>
      <c r="H30" s="1" t="s">
        <v>452</v>
      </c>
    </row>
    <row r="31" customHeight="1" spans="1:8">
      <c r="A31" s="1">
        <v>320479234</v>
      </c>
      <c r="B31" s="1" t="s">
        <v>455</v>
      </c>
      <c r="C31" s="109" t="s">
        <v>124</v>
      </c>
      <c r="D31" s="1">
        <v>4620</v>
      </c>
      <c r="E31" s="1"/>
      <c r="F31" s="4" t="s">
        <v>261</v>
      </c>
      <c r="G31" s="92" t="s">
        <v>277</v>
      </c>
      <c r="H31" s="1" t="s">
        <v>176</v>
      </c>
    </row>
    <row r="32" customHeight="1" spans="1:8">
      <c r="A32" s="1">
        <v>283183148</v>
      </c>
      <c r="B32" s="1" t="s">
        <v>472</v>
      </c>
      <c r="C32" s="109" t="s">
        <v>471</v>
      </c>
      <c r="D32" s="1">
        <v>4500</v>
      </c>
      <c r="E32" s="1"/>
      <c r="F32" s="4" t="s">
        <v>263</v>
      </c>
      <c r="G32" s="92" t="s">
        <v>283</v>
      </c>
      <c r="H32" s="1" t="s">
        <v>473</v>
      </c>
    </row>
    <row r="33" customHeight="1" spans="1:8">
      <c r="A33" s="1">
        <v>174406634</v>
      </c>
      <c r="B33" s="1" t="s">
        <v>523</v>
      </c>
      <c r="C33" s="109" t="s">
        <v>522</v>
      </c>
      <c r="D33" s="1">
        <v>4500</v>
      </c>
      <c r="F33" s="4" t="s">
        <v>135</v>
      </c>
      <c r="G33" s="92" t="s">
        <v>283</v>
      </c>
      <c r="H33" s="1" t="s">
        <v>462</v>
      </c>
    </row>
    <row r="34" customHeight="1" spans="1:8">
      <c r="A34" s="1">
        <v>228914641</v>
      </c>
      <c r="B34" s="1" t="s">
        <v>489</v>
      </c>
      <c r="C34" s="109" t="s">
        <v>615</v>
      </c>
      <c r="D34" s="1">
        <v>4400</v>
      </c>
      <c r="E34" s="1"/>
      <c r="F34" s="4" t="s">
        <v>261</v>
      </c>
      <c r="G34" s="92" t="s">
        <v>283</v>
      </c>
      <c r="H34" s="1" t="s">
        <v>490</v>
      </c>
    </row>
    <row r="35" customHeight="1" spans="1:8">
      <c r="A35" s="1">
        <v>308829979</v>
      </c>
      <c r="B35" s="1" t="s">
        <v>530</v>
      </c>
      <c r="C35" s="109" t="s">
        <v>529</v>
      </c>
      <c r="D35" s="1">
        <v>4000</v>
      </c>
      <c r="E35" s="1"/>
      <c r="F35" s="4" t="s">
        <v>135</v>
      </c>
      <c r="G35" s="92" t="s">
        <v>283</v>
      </c>
      <c r="H35" s="1" t="s">
        <v>531</v>
      </c>
    </row>
    <row r="36" customHeight="1" spans="1:8">
      <c r="A36" s="1">
        <v>481300375</v>
      </c>
      <c r="B36" s="1" t="s">
        <v>487</v>
      </c>
      <c r="C36" s="109" t="s">
        <v>486</v>
      </c>
      <c r="D36" s="1">
        <v>4000</v>
      </c>
      <c r="E36" s="1"/>
      <c r="F36" s="4" t="s">
        <v>262</v>
      </c>
      <c r="G36" s="92" t="s">
        <v>277</v>
      </c>
      <c r="H36" s="1" t="s">
        <v>488</v>
      </c>
    </row>
    <row r="37" customHeight="1" spans="1:8">
      <c r="A37" s="1">
        <v>400294058</v>
      </c>
      <c r="B37" s="1" t="s">
        <v>179</v>
      </c>
      <c r="C37" s="109" t="s">
        <v>179</v>
      </c>
      <c r="D37" s="1">
        <v>4000</v>
      </c>
      <c r="E37" s="1"/>
      <c r="F37" s="4" t="s">
        <v>261</v>
      </c>
      <c r="G37" s="92" t="s">
        <v>283</v>
      </c>
      <c r="H37" s="1"/>
    </row>
    <row r="38" customHeight="1" spans="1:8">
      <c r="A38" s="1">
        <v>138720710</v>
      </c>
      <c r="B38" s="1" t="s">
        <v>466</v>
      </c>
      <c r="C38" s="109" t="s">
        <v>99</v>
      </c>
      <c r="D38" s="1">
        <v>3800</v>
      </c>
      <c r="E38" s="1"/>
      <c r="F38" s="4" t="s">
        <v>89</v>
      </c>
      <c r="G38" s="92" t="s">
        <v>283</v>
      </c>
      <c r="H38" s="1" t="s">
        <v>810</v>
      </c>
    </row>
    <row r="39" customHeight="1" spans="1:8">
      <c r="A39" s="1">
        <v>136825778</v>
      </c>
      <c r="B39" s="1" t="s">
        <v>559</v>
      </c>
      <c r="C39" s="66" t="s">
        <v>559</v>
      </c>
      <c r="D39" s="1">
        <v>3000</v>
      </c>
      <c r="F39" s="4" t="s">
        <v>261</v>
      </c>
      <c r="G39" s="92" t="s">
        <v>283</v>
      </c>
      <c r="H39" s="1" t="s">
        <v>560</v>
      </c>
    </row>
    <row r="40" customHeight="1" spans="2:8">
      <c r="B40" s="1" t="s">
        <v>187</v>
      </c>
      <c r="C40" s="66" t="s">
        <v>187</v>
      </c>
      <c r="D40" s="1">
        <v>2900</v>
      </c>
      <c r="F40" s="4" t="s">
        <v>76</v>
      </c>
      <c r="G40" s="92" t="s">
        <v>283</v>
      </c>
      <c r="H40" s="1" t="s">
        <v>196</v>
      </c>
    </row>
    <row r="41" customHeight="1" spans="1:8">
      <c r="A41" s="1">
        <v>283980530</v>
      </c>
      <c r="B41" s="1" t="s">
        <v>561</v>
      </c>
      <c r="C41" s="109" t="s">
        <v>143</v>
      </c>
      <c r="D41" s="1">
        <v>2000</v>
      </c>
      <c r="F41" s="4" t="s">
        <v>269</v>
      </c>
      <c r="G41" s="92" t="s">
        <v>275</v>
      </c>
      <c r="H41" s="1" t="s">
        <v>198</v>
      </c>
    </row>
  </sheetData>
  <mergeCells count="30">
    <mergeCell ref="I2:J2"/>
    <mergeCell ref="K2:L2"/>
    <mergeCell ref="M2:N2"/>
    <mergeCell ref="I9:J9"/>
    <mergeCell ref="K9:L9"/>
    <mergeCell ref="M9:N9"/>
    <mergeCell ref="I16:J16"/>
    <mergeCell ref="K16:L16"/>
    <mergeCell ref="P2:P3"/>
    <mergeCell ref="P4:P5"/>
    <mergeCell ref="P6:P7"/>
    <mergeCell ref="P9:P10"/>
    <mergeCell ref="P11:P12"/>
    <mergeCell ref="P13:P14"/>
    <mergeCell ref="P16:P17"/>
    <mergeCell ref="P18:P19"/>
    <mergeCell ref="P20:P21"/>
    <mergeCell ref="P23:P24"/>
    <mergeCell ref="P25:P26"/>
    <mergeCell ref="P27:P28"/>
    <mergeCell ref="S4:S5"/>
    <mergeCell ref="S6:S10"/>
    <mergeCell ref="S11:S12"/>
    <mergeCell ref="S18:S19"/>
    <mergeCell ref="S20:S24"/>
    <mergeCell ref="S25:S26"/>
    <mergeCell ref="V7:V10"/>
    <mergeCell ref="V11:V20"/>
    <mergeCell ref="V21:V24"/>
    <mergeCell ref="Y13:Y17"/>
  </mergeCells>
  <dataValidations count="1">
    <dataValidation type="list" allowBlank="1" showInputMessage="1" showErrorMessage="1" sqref="F2:F41">
      <formula1>"位置,一,二,三,四,五,"</formula1>
    </dataValidation>
  </dataValidations>
  <pageMargins left="0.75" right="0.75" top="1" bottom="1" header="0.5" footer="0.5"/>
  <headerFooter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.9内战"/>
  <dimension ref="A1:AC41"/>
  <sheetViews>
    <sheetView workbookViewId="0">
      <selection activeCell="A1" sqref="A1"/>
    </sheetView>
  </sheetViews>
  <sheetFormatPr defaultColWidth="14" defaultRowHeight="18" customHeight="1"/>
  <cols>
    <col min="1" max="2" width="14.9765625" customWidth="1"/>
    <col min="3" max="3" width="8.09375" customWidth="1"/>
    <col min="4" max="4" width="22.390625" customWidth="1"/>
    <col min="6" max="6" width="58.28125" customWidth="1"/>
    <col min="7" max="7" width="6.7421875" customWidth="1"/>
    <col min="8" max="8" width="15.375" customWidth="1"/>
    <col min="12" max="12" width="3.3671875" customWidth="1"/>
    <col min="14" max="15" width="3.640625" customWidth="1"/>
    <col min="17" max="18" width="3.640625" customWidth="1"/>
    <col min="19" max="19" width="13.671875" style="95"/>
    <col min="20" max="21" width="3.640625" customWidth="1"/>
  </cols>
  <sheetData>
    <row r="1" ht="16" spans="1:19">
      <c r="A1" s="84" t="s">
        <v>272</v>
      </c>
      <c r="B1" s="84" t="s">
        <v>68</v>
      </c>
      <c r="C1" s="84" t="s">
        <v>70</v>
      </c>
      <c r="D1" s="84" t="s">
        <v>226</v>
      </c>
      <c r="E1" s="84" t="s">
        <v>227</v>
      </c>
      <c r="F1" s="84" t="s">
        <v>74</v>
      </c>
      <c r="H1" s="13" t="s">
        <v>811</v>
      </c>
      <c r="S1"/>
    </row>
    <row r="2" ht="16" spans="1:18">
      <c r="A2" s="61"/>
      <c r="B2" s="38" t="s">
        <v>618</v>
      </c>
      <c r="C2" s="61">
        <v>10000</v>
      </c>
      <c r="D2" s="96" t="s">
        <v>97</v>
      </c>
      <c r="E2" s="92" t="s">
        <v>283</v>
      </c>
      <c r="F2" s="61" t="s">
        <v>235</v>
      </c>
      <c r="H2" s="99" t="s">
        <v>250</v>
      </c>
      <c r="I2" s="41"/>
      <c r="J2" s="67" t="s">
        <v>427</v>
      </c>
      <c r="K2" s="41"/>
      <c r="M2" s="61" t="s">
        <v>812</v>
      </c>
      <c r="N2" s="58"/>
      <c r="O2" s="58"/>
      <c r="P2" s="1"/>
      <c r="Q2" s="58"/>
      <c r="R2" s="58"/>
    </row>
    <row r="3" ht="16" spans="1:18">
      <c r="A3" s="61" t="s">
        <v>274</v>
      </c>
      <c r="B3" s="38" t="s">
        <v>83</v>
      </c>
      <c r="C3" s="61">
        <v>9500</v>
      </c>
      <c r="D3" s="96" t="s">
        <v>97</v>
      </c>
      <c r="E3" s="92" t="s">
        <v>275</v>
      </c>
      <c r="F3" s="61" t="s">
        <v>228</v>
      </c>
      <c r="H3" s="99" t="s">
        <v>250</v>
      </c>
      <c r="I3" s="99">
        <v>6649</v>
      </c>
      <c r="J3" s="69" t="s">
        <v>427</v>
      </c>
      <c r="K3" s="69">
        <v>4900</v>
      </c>
      <c r="M3" s="41"/>
      <c r="N3" s="59"/>
      <c r="O3" s="60"/>
      <c r="P3" s="51"/>
      <c r="Q3" s="58"/>
      <c r="R3" s="58"/>
    </row>
    <row r="4" ht="16" spans="1:18">
      <c r="A4" s="41"/>
      <c r="B4" s="38" t="s">
        <v>619</v>
      </c>
      <c r="C4" s="85">
        <v>9000</v>
      </c>
      <c r="D4" s="87" t="s">
        <v>233</v>
      </c>
      <c r="E4" s="92" t="s">
        <v>283</v>
      </c>
      <c r="F4" s="85" t="s">
        <v>813</v>
      </c>
      <c r="H4" s="99" t="s">
        <v>362</v>
      </c>
      <c r="I4" s="99">
        <v>5500</v>
      </c>
      <c r="J4" s="69" t="s">
        <v>80</v>
      </c>
      <c r="K4" s="69">
        <v>8300</v>
      </c>
      <c r="M4" s="76" t="s">
        <v>787</v>
      </c>
      <c r="N4" s="58"/>
      <c r="O4" s="60"/>
      <c r="P4" s="61" t="s">
        <v>118</v>
      </c>
      <c r="Q4" s="58"/>
      <c r="R4" s="58"/>
    </row>
    <row r="5" ht="16" spans="1:18">
      <c r="A5" s="61" t="s">
        <v>85</v>
      </c>
      <c r="B5" s="38" t="s">
        <v>85</v>
      </c>
      <c r="C5" s="61">
        <v>8600</v>
      </c>
      <c r="D5" s="96" t="s">
        <v>76</v>
      </c>
      <c r="E5" s="92" t="s">
        <v>283</v>
      </c>
      <c r="F5" s="77"/>
      <c r="H5" s="99" t="s">
        <v>318</v>
      </c>
      <c r="I5" s="99">
        <v>7000</v>
      </c>
      <c r="J5" s="69" t="s">
        <v>96</v>
      </c>
      <c r="K5" s="69">
        <v>7500</v>
      </c>
      <c r="N5" s="58"/>
      <c r="O5" s="62"/>
      <c r="P5" s="41"/>
      <c r="Q5" s="59"/>
      <c r="R5" s="60"/>
    </row>
    <row r="6" ht="16" spans="1:19">
      <c r="A6" s="61" t="s">
        <v>80</v>
      </c>
      <c r="B6" s="38" t="s">
        <v>80</v>
      </c>
      <c r="C6" s="61">
        <v>8300</v>
      </c>
      <c r="D6" s="96" t="s">
        <v>76</v>
      </c>
      <c r="E6" s="92" t="s">
        <v>275</v>
      </c>
      <c r="F6" s="61"/>
      <c r="H6" s="99" t="s">
        <v>100</v>
      </c>
      <c r="I6" s="99">
        <v>5300</v>
      </c>
      <c r="J6" s="69" t="s">
        <v>486</v>
      </c>
      <c r="K6" s="69">
        <v>4000</v>
      </c>
      <c r="M6" s="77" t="s">
        <v>118</v>
      </c>
      <c r="N6" s="58"/>
      <c r="O6" s="60"/>
      <c r="P6" s="42" t="s">
        <v>787</v>
      </c>
      <c r="Q6" s="58"/>
      <c r="R6" s="60"/>
      <c r="S6" s="42"/>
    </row>
    <row r="7" ht="16" spans="1:19">
      <c r="A7" s="61" t="s">
        <v>304</v>
      </c>
      <c r="B7" s="38" t="s">
        <v>303</v>
      </c>
      <c r="C7" s="61">
        <v>8300</v>
      </c>
      <c r="D7" s="96" t="s">
        <v>241</v>
      </c>
      <c r="E7" s="92" t="s">
        <v>283</v>
      </c>
      <c r="F7" s="61" t="s">
        <v>814</v>
      </c>
      <c r="H7" s="99" t="s">
        <v>529</v>
      </c>
      <c r="I7" s="99">
        <v>4000</v>
      </c>
      <c r="J7" s="69" t="s">
        <v>524</v>
      </c>
      <c r="K7" s="69">
        <v>4000</v>
      </c>
      <c r="M7" s="41"/>
      <c r="N7" s="59"/>
      <c r="O7" s="58"/>
      <c r="Q7" s="58"/>
      <c r="R7" s="60"/>
      <c r="S7" s="77" t="s">
        <v>650</v>
      </c>
    </row>
    <row r="8" ht="16" spans="1:19">
      <c r="A8" s="61" t="s">
        <v>107</v>
      </c>
      <c r="B8" s="38" t="s">
        <v>107</v>
      </c>
      <c r="C8" s="61">
        <v>8100</v>
      </c>
      <c r="D8" s="96" t="s">
        <v>231</v>
      </c>
      <c r="E8" s="92" t="s">
        <v>283</v>
      </c>
      <c r="F8" s="61" t="s">
        <v>232</v>
      </c>
      <c r="H8" s="99" t="s">
        <v>727</v>
      </c>
      <c r="I8" s="99">
        <f>SUM(I3:I7)</f>
        <v>28449</v>
      </c>
      <c r="J8" s="67" t="s">
        <v>727</v>
      </c>
      <c r="K8" s="67">
        <f>SUM(K3:K7)</f>
        <v>28700</v>
      </c>
      <c r="M8" s="78"/>
      <c r="N8" s="49"/>
      <c r="O8" s="49"/>
      <c r="Q8" s="58"/>
      <c r="R8" s="60"/>
      <c r="S8" s="41"/>
    </row>
    <row r="9" ht="16" spans="1:20">
      <c r="A9" s="61" t="s">
        <v>308</v>
      </c>
      <c r="B9" s="38" t="s">
        <v>101</v>
      </c>
      <c r="C9" s="61">
        <v>8000</v>
      </c>
      <c r="D9" s="96" t="s">
        <v>76</v>
      </c>
      <c r="E9" s="92" t="s">
        <v>283</v>
      </c>
      <c r="F9" s="97"/>
      <c r="H9" s="68" t="s">
        <v>365</v>
      </c>
      <c r="I9" s="41"/>
      <c r="J9" s="101" t="s">
        <v>118</v>
      </c>
      <c r="K9" s="41"/>
      <c r="M9" s="61" t="s">
        <v>427</v>
      </c>
      <c r="N9" s="58"/>
      <c r="O9" s="58"/>
      <c r="Q9" s="58"/>
      <c r="R9" s="62"/>
      <c r="S9" s="41"/>
      <c r="T9" s="80"/>
    </row>
    <row r="10" ht="16" spans="1:20">
      <c r="A10" s="61" t="s">
        <v>323</v>
      </c>
      <c r="B10" s="38" t="s">
        <v>322</v>
      </c>
      <c r="C10" s="61">
        <v>7700</v>
      </c>
      <c r="D10" s="96" t="s">
        <v>263</v>
      </c>
      <c r="E10" s="92" t="s">
        <v>283</v>
      </c>
      <c r="F10" s="61" t="s">
        <v>323</v>
      </c>
      <c r="H10" s="68" t="s">
        <v>365</v>
      </c>
      <c r="I10" s="68">
        <v>6500</v>
      </c>
      <c r="J10" s="101" t="s">
        <v>118</v>
      </c>
      <c r="K10" s="101">
        <v>6000</v>
      </c>
      <c r="M10" s="41"/>
      <c r="N10" s="59"/>
      <c r="O10" s="60"/>
      <c r="Q10" s="58"/>
      <c r="R10" s="60"/>
      <c r="S10" s="41"/>
      <c r="T10" s="81"/>
    </row>
    <row r="11" ht="16" spans="1:20">
      <c r="A11" s="61" t="s">
        <v>300</v>
      </c>
      <c r="B11" s="38" t="s">
        <v>96</v>
      </c>
      <c r="C11" s="61">
        <v>7500</v>
      </c>
      <c r="D11" s="96" t="s">
        <v>97</v>
      </c>
      <c r="E11" s="92" t="s">
        <v>283</v>
      </c>
      <c r="F11" s="61" t="s">
        <v>98</v>
      </c>
      <c r="H11" s="68" t="s">
        <v>619</v>
      </c>
      <c r="I11" s="68">
        <v>9000</v>
      </c>
      <c r="J11" s="101" t="s">
        <v>618</v>
      </c>
      <c r="K11" s="101">
        <v>10000</v>
      </c>
      <c r="M11" s="76" t="s">
        <v>787</v>
      </c>
      <c r="N11" s="58"/>
      <c r="O11" s="60"/>
      <c r="P11" s="77" t="s">
        <v>650</v>
      </c>
      <c r="Q11" s="58"/>
      <c r="R11" s="60"/>
      <c r="S11" s="95" t="s">
        <v>787</v>
      </c>
      <c r="T11" s="81"/>
    </row>
    <row r="12" ht="16" spans="1:22">
      <c r="A12" s="61" t="s">
        <v>151</v>
      </c>
      <c r="B12" s="38" t="s">
        <v>318</v>
      </c>
      <c r="C12" s="61">
        <v>7000</v>
      </c>
      <c r="D12" s="96" t="s">
        <v>243</v>
      </c>
      <c r="E12" s="92" t="s">
        <v>283</v>
      </c>
      <c r="F12" s="61" t="s">
        <v>815</v>
      </c>
      <c r="H12" s="68" t="s">
        <v>124</v>
      </c>
      <c r="I12" s="68">
        <v>4620</v>
      </c>
      <c r="J12" s="101" t="s">
        <v>340</v>
      </c>
      <c r="K12" s="101">
        <v>6500</v>
      </c>
      <c r="N12" s="58"/>
      <c r="O12" s="62"/>
      <c r="P12" s="41"/>
      <c r="Q12" s="59"/>
      <c r="R12" s="58"/>
      <c r="T12" s="81"/>
      <c r="V12" s="3" t="s">
        <v>730</v>
      </c>
    </row>
    <row r="13" ht="16" spans="1:24">
      <c r="A13" s="61" t="s">
        <v>354</v>
      </c>
      <c r="B13" s="38" t="s">
        <v>623</v>
      </c>
      <c r="C13" s="61">
        <v>6800</v>
      </c>
      <c r="D13" s="96" t="s">
        <v>241</v>
      </c>
      <c r="E13" s="92" t="s">
        <v>283</v>
      </c>
      <c r="F13" s="61" t="s">
        <v>125</v>
      </c>
      <c r="H13" s="68" t="s">
        <v>816</v>
      </c>
      <c r="I13" s="68">
        <v>4400</v>
      </c>
      <c r="J13" s="101" t="s">
        <v>144</v>
      </c>
      <c r="K13" s="101">
        <v>3300</v>
      </c>
      <c r="M13" s="77" t="s">
        <v>650</v>
      </c>
      <c r="N13" s="58"/>
      <c r="O13" s="60"/>
      <c r="P13" s="1"/>
      <c r="Q13" s="58"/>
      <c r="R13" s="58"/>
      <c r="T13" s="81"/>
      <c r="V13" s="77" t="s">
        <v>817</v>
      </c>
      <c r="W13" s="69" t="s">
        <v>427</v>
      </c>
      <c r="X13" s="69">
        <v>4900</v>
      </c>
    </row>
    <row r="14" ht="16" spans="1:24">
      <c r="A14" s="85" t="s">
        <v>334</v>
      </c>
      <c r="B14" s="38" t="s">
        <v>333</v>
      </c>
      <c r="C14" s="85">
        <v>6800</v>
      </c>
      <c r="D14" s="87" t="s">
        <v>97</v>
      </c>
      <c r="E14" s="92" t="s">
        <v>283</v>
      </c>
      <c r="F14" s="87" t="s">
        <v>818</v>
      </c>
      <c r="H14" s="68" t="s">
        <v>519</v>
      </c>
      <c r="I14" s="68">
        <v>3900</v>
      </c>
      <c r="J14" s="101" t="s">
        <v>468</v>
      </c>
      <c r="K14" s="101">
        <v>4500</v>
      </c>
      <c r="M14" s="41"/>
      <c r="N14" s="59"/>
      <c r="O14" s="58"/>
      <c r="P14" s="1"/>
      <c r="Q14" s="58"/>
      <c r="R14" s="58"/>
      <c r="T14" s="81"/>
      <c r="V14" s="105"/>
      <c r="W14" s="69" t="s">
        <v>80</v>
      </c>
      <c r="X14" s="69">
        <v>8300</v>
      </c>
    </row>
    <row r="15" ht="16" spans="1:24">
      <c r="A15" s="61" t="s">
        <v>250</v>
      </c>
      <c r="B15" s="70" t="s">
        <v>250</v>
      </c>
      <c r="C15" s="61">
        <v>6649</v>
      </c>
      <c r="D15" s="96" t="s">
        <v>241</v>
      </c>
      <c r="E15" s="92" t="s">
        <v>277</v>
      </c>
      <c r="F15" s="61" t="s">
        <v>819</v>
      </c>
      <c r="H15" s="68" t="s">
        <v>727</v>
      </c>
      <c r="I15" s="68">
        <f>SUM(I10:I14)</f>
        <v>28420</v>
      </c>
      <c r="J15" s="101" t="s">
        <v>727</v>
      </c>
      <c r="K15" s="101">
        <f>SUM(K10:K14)</f>
        <v>30300</v>
      </c>
      <c r="T15" s="81"/>
      <c r="U15" t="s">
        <v>745</v>
      </c>
      <c r="V15" s="105"/>
      <c r="W15" s="69" t="s">
        <v>96</v>
      </c>
      <c r="X15" s="69">
        <v>7500</v>
      </c>
    </row>
    <row r="16" ht="16" spans="1:24">
      <c r="A16" s="61" t="s">
        <v>341</v>
      </c>
      <c r="B16" s="38" t="s">
        <v>340</v>
      </c>
      <c r="C16" s="61">
        <v>6500</v>
      </c>
      <c r="D16" s="96" t="s">
        <v>236</v>
      </c>
      <c r="E16" s="92" t="s">
        <v>283</v>
      </c>
      <c r="F16" s="61" t="s">
        <v>342</v>
      </c>
      <c r="H16" s="71" t="s">
        <v>820</v>
      </c>
      <c r="I16" s="41"/>
      <c r="J16" s="102" t="s">
        <v>360</v>
      </c>
      <c r="K16" s="41"/>
      <c r="M16" s="61" t="s">
        <v>365</v>
      </c>
      <c r="N16" s="58"/>
      <c r="O16" s="58"/>
      <c r="P16" s="1"/>
      <c r="Q16" s="58"/>
      <c r="R16" s="58"/>
      <c r="T16" s="81"/>
      <c r="V16" s="105"/>
      <c r="W16" s="69" t="s">
        <v>486</v>
      </c>
      <c r="X16" s="69">
        <v>4000</v>
      </c>
    </row>
    <row r="17" ht="16" spans="1:24">
      <c r="A17" s="61" t="s">
        <v>821</v>
      </c>
      <c r="B17" s="70" t="s">
        <v>365</v>
      </c>
      <c r="C17" s="61">
        <v>6500</v>
      </c>
      <c r="D17" s="96" t="s">
        <v>267</v>
      </c>
      <c r="E17" s="92" t="s">
        <v>283</v>
      </c>
      <c r="F17" s="97"/>
      <c r="H17" s="71" t="s">
        <v>396</v>
      </c>
      <c r="I17" s="71">
        <v>6000</v>
      </c>
      <c r="J17" s="103" t="s">
        <v>360</v>
      </c>
      <c r="K17" s="103">
        <v>6000</v>
      </c>
      <c r="M17" s="41"/>
      <c r="N17" s="59"/>
      <c r="O17" s="60"/>
      <c r="P17" s="51"/>
      <c r="Q17" s="58"/>
      <c r="R17" s="58"/>
      <c r="T17" s="81"/>
      <c r="V17" s="106"/>
      <c r="W17" s="69" t="s">
        <v>524</v>
      </c>
      <c r="X17" s="69">
        <v>4000</v>
      </c>
    </row>
    <row r="18" ht="16" spans="1:20">
      <c r="A18" s="61" t="s">
        <v>371</v>
      </c>
      <c r="B18" s="38" t="s">
        <v>370</v>
      </c>
      <c r="C18" s="61">
        <v>6400</v>
      </c>
      <c r="D18" s="96" t="s">
        <v>267</v>
      </c>
      <c r="E18" s="92" t="s">
        <v>283</v>
      </c>
      <c r="F18" s="61" t="s">
        <v>372</v>
      </c>
      <c r="H18" s="71" t="s">
        <v>322</v>
      </c>
      <c r="I18" s="71">
        <v>7700</v>
      </c>
      <c r="J18" s="103" t="s">
        <v>303</v>
      </c>
      <c r="K18" s="103">
        <v>8300</v>
      </c>
      <c r="M18" s="76" t="s">
        <v>787</v>
      </c>
      <c r="N18" s="58"/>
      <c r="O18" s="60"/>
      <c r="P18" s="61" t="s">
        <v>365</v>
      </c>
      <c r="Q18" s="58"/>
      <c r="R18" s="58"/>
      <c r="T18" s="81"/>
    </row>
    <row r="19" ht="16" spans="1:20">
      <c r="A19" s="61" t="s">
        <v>822</v>
      </c>
      <c r="B19" s="70" t="s">
        <v>396</v>
      </c>
      <c r="C19" s="61">
        <v>6000</v>
      </c>
      <c r="D19" s="96" t="s">
        <v>76</v>
      </c>
      <c r="E19" s="92" t="s">
        <v>283</v>
      </c>
      <c r="F19" s="61" t="s">
        <v>149</v>
      </c>
      <c r="H19" s="71" t="s">
        <v>370</v>
      </c>
      <c r="I19" s="71">
        <v>6400</v>
      </c>
      <c r="J19" s="103" t="s">
        <v>333</v>
      </c>
      <c r="K19" s="103">
        <v>6800</v>
      </c>
      <c r="N19" s="58"/>
      <c r="O19" s="62"/>
      <c r="P19" s="41"/>
      <c r="Q19" s="59"/>
      <c r="R19" s="60"/>
      <c r="T19" s="81"/>
    </row>
    <row r="20" ht="16" spans="1:20">
      <c r="A20" s="61" t="s">
        <v>361</v>
      </c>
      <c r="B20" s="70" t="s">
        <v>360</v>
      </c>
      <c r="C20" s="61">
        <v>6000</v>
      </c>
      <c r="D20" s="96" t="s">
        <v>241</v>
      </c>
      <c r="E20" s="92" t="s">
        <v>283</v>
      </c>
      <c r="F20" s="61" t="s">
        <v>128</v>
      </c>
      <c r="H20" s="71" t="s">
        <v>505</v>
      </c>
      <c r="I20" s="71">
        <v>4000</v>
      </c>
      <c r="J20" s="103" t="s">
        <v>540</v>
      </c>
      <c r="K20" s="103">
        <v>3300</v>
      </c>
      <c r="M20" s="77" t="s">
        <v>410</v>
      </c>
      <c r="N20" s="58"/>
      <c r="O20" s="60"/>
      <c r="P20" s="42" t="s">
        <v>787</v>
      </c>
      <c r="Q20" s="58"/>
      <c r="R20" s="60"/>
      <c r="T20" s="81"/>
    </row>
    <row r="21" ht="16" spans="1:20">
      <c r="A21" s="61" t="s">
        <v>118</v>
      </c>
      <c r="B21" s="70" t="s">
        <v>118</v>
      </c>
      <c r="C21" s="61">
        <v>6000</v>
      </c>
      <c r="D21" s="96" t="s">
        <v>81</v>
      </c>
      <c r="E21" s="92" t="s">
        <v>277</v>
      </c>
      <c r="F21" s="61" t="s">
        <v>257</v>
      </c>
      <c r="H21" s="71" t="s">
        <v>477</v>
      </c>
      <c r="I21" s="71">
        <v>4300</v>
      </c>
      <c r="J21" s="103" t="s">
        <v>123</v>
      </c>
      <c r="K21" s="103">
        <v>4500</v>
      </c>
      <c r="M21" s="41"/>
      <c r="N21" s="59"/>
      <c r="O21" s="58"/>
      <c r="Q21" s="58"/>
      <c r="R21" s="60"/>
      <c r="S21" s="77" t="s">
        <v>817</v>
      </c>
      <c r="T21" s="81"/>
    </row>
    <row r="22" ht="16" spans="1:20">
      <c r="A22" s="61" t="s">
        <v>411</v>
      </c>
      <c r="B22" s="70" t="s">
        <v>410</v>
      </c>
      <c r="C22" s="61">
        <v>5800</v>
      </c>
      <c r="D22" s="96" t="s">
        <v>241</v>
      </c>
      <c r="E22" s="92" t="s">
        <v>283</v>
      </c>
      <c r="F22" s="61" t="s">
        <v>183</v>
      </c>
      <c r="H22" s="71" t="s">
        <v>727</v>
      </c>
      <c r="I22" s="71">
        <f>SUM(I17:I21)</f>
        <v>28400</v>
      </c>
      <c r="J22" s="102" t="s">
        <v>727</v>
      </c>
      <c r="K22" s="102">
        <f>SUM(K17:K21)</f>
        <v>28900</v>
      </c>
      <c r="M22" s="78"/>
      <c r="N22" s="49"/>
      <c r="O22" s="49"/>
      <c r="Q22" s="58"/>
      <c r="R22" s="60"/>
      <c r="S22" s="41"/>
      <c r="T22" s="81"/>
    </row>
    <row r="23" ht="16" spans="1:20">
      <c r="A23" s="61" t="s">
        <v>420</v>
      </c>
      <c r="B23" s="70" t="s">
        <v>622</v>
      </c>
      <c r="C23" s="61">
        <v>5800</v>
      </c>
      <c r="D23" s="96" t="s">
        <v>248</v>
      </c>
      <c r="E23" s="92" t="s">
        <v>283</v>
      </c>
      <c r="F23" s="61" t="s">
        <v>167</v>
      </c>
      <c r="H23" s="100" t="s">
        <v>410</v>
      </c>
      <c r="I23" s="41"/>
      <c r="J23" s="104" t="s">
        <v>622</v>
      </c>
      <c r="K23" s="41"/>
      <c r="M23" s="61" t="s">
        <v>820</v>
      </c>
      <c r="N23" s="58"/>
      <c r="O23" s="58"/>
      <c r="Q23" s="58"/>
      <c r="R23" s="62"/>
      <c r="S23" s="41"/>
      <c r="T23" s="83"/>
    </row>
    <row r="24" ht="16" spans="1:19">
      <c r="A24" s="97"/>
      <c r="B24" s="38" t="s">
        <v>362</v>
      </c>
      <c r="C24" s="61">
        <v>5500</v>
      </c>
      <c r="D24" s="96" t="s">
        <v>261</v>
      </c>
      <c r="E24" s="92" t="s">
        <v>320</v>
      </c>
      <c r="F24" s="61" t="s">
        <v>363</v>
      </c>
      <c r="H24" s="100" t="s">
        <v>410</v>
      </c>
      <c r="I24" s="100">
        <v>5800</v>
      </c>
      <c r="J24" s="104" t="s">
        <v>622</v>
      </c>
      <c r="K24" s="104">
        <v>5800</v>
      </c>
      <c r="M24" s="41"/>
      <c r="N24" s="59"/>
      <c r="O24" s="60"/>
      <c r="Q24" s="58"/>
      <c r="R24" s="60"/>
      <c r="S24" s="41"/>
    </row>
    <row r="25" ht="16" spans="1:18">
      <c r="A25" s="61" t="s">
        <v>100</v>
      </c>
      <c r="B25" s="38" t="s">
        <v>100</v>
      </c>
      <c r="C25" s="61">
        <v>5300</v>
      </c>
      <c r="D25" s="96" t="s">
        <v>241</v>
      </c>
      <c r="E25" s="92" t="s">
        <v>283</v>
      </c>
      <c r="F25" s="61" t="s">
        <v>164</v>
      </c>
      <c r="H25" s="100" t="s">
        <v>83</v>
      </c>
      <c r="I25" s="100">
        <v>9500</v>
      </c>
      <c r="J25" s="104" t="s">
        <v>107</v>
      </c>
      <c r="K25" s="104">
        <v>8100</v>
      </c>
      <c r="M25" s="76" t="s">
        <v>787</v>
      </c>
      <c r="N25" s="58"/>
      <c r="O25" s="60"/>
      <c r="P25" s="77" t="s">
        <v>817</v>
      </c>
      <c r="Q25" s="58"/>
      <c r="R25" s="60"/>
    </row>
    <row r="26" ht="16" spans="1:18">
      <c r="A26" s="85" t="s">
        <v>425</v>
      </c>
      <c r="B26" s="38" t="s">
        <v>424</v>
      </c>
      <c r="C26" s="85">
        <v>5000</v>
      </c>
      <c r="D26" s="87" t="s">
        <v>412</v>
      </c>
      <c r="E26" s="92" t="s">
        <v>283</v>
      </c>
      <c r="F26" s="85" t="s">
        <v>823</v>
      </c>
      <c r="H26" s="100" t="s">
        <v>85</v>
      </c>
      <c r="I26" s="100">
        <v>8600</v>
      </c>
      <c r="J26" s="104" t="s">
        <v>623</v>
      </c>
      <c r="K26" s="104">
        <v>6800</v>
      </c>
      <c r="N26" s="58"/>
      <c r="O26" s="62"/>
      <c r="P26" s="41"/>
      <c r="Q26" s="59"/>
      <c r="R26" s="58"/>
    </row>
    <row r="27" ht="31" spans="1:18">
      <c r="A27" s="61" t="s">
        <v>117</v>
      </c>
      <c r="B27" s="70" t="s">
        <v>427</v>
      </c>
      <c r="C27" s="61">
        <v>4900</v>
      </c>
      <c r="D27" s="96" t="s">
        <v>267</v>
      </c>
      <c r="E27" s="92" t="s">
        <v>283</v>
      </c>
      <c r="F27" s="61" t="s">
        <v>809</v>
      </c>
      <c r="H27" s="100" t="s">
        <v>101</v>
      </c>
      <c r="I27" s="100">
        <v>8000</v>
      </c>
      <c r="J27" s="104" t="s">
        <v>143</v>
      </c>
      <c r="K27" s="104">
        <v>2000</v>
      </c>
      <c r="M27" s="77" t="s">
        <v>824</v>
      </c>
      <c r="N27" s="58"/>
      <c r="O27" s="60"/>
      <c r="P27" s="1" t="s">
        <v>825</v>
      </c>
      <c r="Q27" s="58"/>
      <c r="R27" s="58"/>
    </row>
    <row r="28" ht="16" spans="1:18">
      <c r="A28" s="61" t="s">
        <v>455</v>
      </c>
      <c r="B28" s="38" t="s">
        <v>124</v>
      </c>
      <c r="C28" s="61">
        <v>4620</v>
      </c>
      <c r="D28" s="96" t="s">
        <v>261</v>
      </c>
      <c r="E28" s="92" t="s">
        <v>277</v>
      </c>
      <c r="F28" s="97"/>
      <c r="H28" s="100" t="s">
        <v>621</v>
      </c>
      <c r="I28" s="100">
        <v>500</v>
      </c>
      <c r="J28" s="104" t="s">
        <v>424</v>
      </c>
      <c r="K28" s="104">
        <v>5000</v>
      </c>
      <c r="M28" s="41"/>
      <c r="N28" s="59"/>
      <c r="O28" s="58"/>
      <c r="P28" s="1"/>
      <c r="Q28" s="58"/>
      <c r="R28" s="58"/>
    </row>
    <row r="29" ht="31" spans="1:11">
      <c r="A29" s="61" t="s">
        <v>468</v>
      </c>
      <c r="B29" s="38" t="s">
        <v>468</v>
      </c>
      <c r="C29" s="61">
        <v>4500</v>
      </c>
      <c r="D29" s="96" t="s">
        <v>469</v>
      </c>
      <c r="E29" s="92" t="s">
        <v>283</v>
      </c>
      <c r="F29" s="61" t="s">
        <v>470</v>
      </c>
      <c r="H29" s="100" t="s">
        <v>727</v>
      </c>
      <c r="I29" s="100">
        <f>SUM(I24:I28)</f>
        <v>32400</v>
      </c>
      <c r="J29" s="104" t="s">
        <v>727</v>
      </c>
      <c r="K29" s="104">
        <f>SUM(K24:K28)</f>
        <v>27700</v>
      </c>
    </row>
    <row r="30" ht="20.4" spans="1:6">
      <c r="A30" s="98" t="s">
        <v>467</v>
      </c>
      <c r="B30" s="38" t="s">
        <v>123</v>
      </c>
      <c r="C30" s="61">
        <v>4500</v>
      </c>
      <c r="D30" s="96" t="s">
        <v>231</v>
      </c>
      <c r="E30" s="92" t="s">
        <v>283</v>
      </c>
      <c r="F30" s="61" t="s">
        <v>178</v>
      </c>
    </row>
    <row r="31" ht="16" spans="1:6">
      <c r="A31" s="85" t="s">
        <v>443</v>
      </c>
      <c r="B31" s="38" t="s">
        <v>816</v>
      </c>
      <c r="C31" s="85">
        <v>4400</v>
      </c>
      <c r="D31" s="87" t="s">
        <v>261</v>
      </c>
      <c r="E31" s="92" t="s">
        <v>283</v>
      </c>
      <c r="F31" s="85" t="s">
        <v>444</v>
      </c>
    </row>
    <row r="32" ht="16" spans="1:6">
      <c r="A32" s="61" t="s">
        <v>478</v>
      </c>
      <c r="B32" s="38" t="s">
        <v>477</v>
      </c>
      <c r="C32" s="61">
        <v>4300</v>
      </c>
      <c r="D32" s="96" t="s">
        <v>479</v>
      </c>
      <c r="E32" s="92" t="s">
        <v>283</v>
      </c>
      <c r="F32" s="61" t="s">
        <v>480</v>
      </c>
    </row>
    <row r="33" ht="16" spans="1:6">
      <c r="A33" s="61" t="s">
        <v>506</v>
      </c>
      <c r="B33" s="38" t="s">
        <v>505</v>
      </c>
      <c r="C33" s="61">
        <v>4000</v>
      </c>
      <c r="D33" s="96" t="s">
        <v>261</v>
      </c>
      <c r="E33" s="92" t="s">
        <v>283</v>
      </c>
      <c r="F33" s="61" t="s">
        <v>507</v>
      </c>
    </row>
    <row r="34" ht="16" spans="1:6">
      <c r="A34" s="61" t="s">
        <v>530</v>
      </c>
      <c r="B34" s="38" t="s">
        <v>529</v>
      </c>
      <c r="C34" s="61">
        <v>4000</v>
      </c>
      <c r="D34" s="96" t="s">
        <v>135</v>
      </c>
      <c r="E34" s="92" t="s">
        <v>283</v>
      </c>
      <c r="F34" s="61" t="s">
        <v>531</v>
      </c>
    </row>
    <row r="35" ht="16" spans="1:6">
      <c r="A35" s="61" t="s">
        <v>487</v>
      </c>
      <c r="B35" s="38" t="s">
        <v>486</v>
      </c>
      <c r="C35" s="61">
        <v>4000</v>
      </c>
      <c r="D35" s="96" t="s">
        <v>262</v>
      </c>
      <c r="E35" s="92" t="s">
        <v>283</v>
      </c>
      <c r="F35" s="61" t="s">
        <v>488</v>
      </c>
    </row>
    <row r="36" ht="16" spans="1:6">
      <c r="A36" s="61" t="s">
        <v>524</v>
      </c>
      <c r="B36" s="38" t="s">
        <v>524</v>
      </c>
      <c r="C36" s="61">
        <v>4000</v>
      </c>
      <c r="D36" s="96" t="s">
        <v>260</v>
      </c>
      <c r="E36" s="92" t="s">
        <v>283</v>
      </c>
      <c r="F36" s="61"/>
    </row>
    <row r="37" ht="16" spans="1:6">
      <c r="A37" s="85" t="s">
        <v>520</v>
      </c>
      <c r="B37" s="38" t="s">
        <v>519</v>
      </c>
      <c r="C37" s="85">
        <v>3900</v>
      </c>
      <c r="D37" s="87" t="s">
        <v>238</v>
      </c>
      <c r="E37" s="92" t="s">
        <v>277</v>
      </c>
      <c r="F37" s="85" t="s">
        <v>521</v>
      </c>
    </row>
    <row r="38" ht="16" spans="1:6">
      <c r="A38" s="61"/>
      <c r="B38" s="38" t="s">
        <v>540</v>
      </c>
      <c r="C38" s="61">
        <v>3300</v>
      </c>
      <c r="D38" s="96" t="s">
        <v>262</v>
      </c>
      <c r="E38" s="92" t="s">
        <v>283</v>
      </c>
      <c r="F38" s="61" t="s">
        <v>826</v>
      </c>
    </row>
    <row r="39" ht="16" spans="1:6">
      <c r="A39" s="61" t="s">
        <v>539</v>
      </c>
      <c r="B39" s="38" t="s">
        <v>144</v>
      </c>
      <c r="C39" s="61">
        <v>3300</v>
      </c>
      <c r="D39" s="96" t="s">
        <v>267</v>
      </c>
      <c r="E39" s="92" t="s">
        <v>283</v>
      </c>
      <c r="F39" s="61" t="s">
        <v>191</v>
      </c>
    </row>
    <row r="40" ht="24.75" customHeight="1" spans="1:29">
      <c r="A40" s="61" t="s">
        <v>561</v>
      </c>
      <c r="B40" s="38" t="s">
        <v>143</v>
      </c>
      <c r="C40" s="61">
        <v>2000</v>
      </c>
      <c r="D40" s="96" t="s">
        <v>269</v>
      </c>
      <c r="E40" s="92" t="s">
        <v>275</v>
      </c>
      <c r="F40" s="61" t="s">
        <v>827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ht="31" spans="1:6">
      <c r="A41" s="61" t="s">
        <v>578</v>
      </c>
      <c r="B41" s="61" t="s">
        <v>621</v>
      </c>
      <c r="C41" s="61">
        <v>500</v>
      </c>
      <c r="D41" s="96" t="s">
        <v>241</v>
      </c>
      <c r="E41" s="92" t="s">
        <v>283</v>
      </c>
      <c r="F41" s="61" t="s">
        <v>828</v>
      </c>
    </row>
  </sheetData>
  <mergeCells count="31">
    <mergeCell ref="H1:V1"/>
    <mergeCell ref="H2:I2"/>
    <mergeCell ref="J2:K2"/>
    <mergeCell ref="H9:I9"/>
    <mergeCell ref="J9:K9"/>
    <mergeCell ref="H16:I16"/>
    <mergeCell ref="J16:K16"/>
    <mergeCell ref="H23:I23"/>
    <mergeCell ref="J23:K23"/>
    <mergeCell ref="M2:M3"/>
    <mergeCell ref="M4:M5"/>
    <mergeCell ref="M6:M7"/>
    <mergeCell ref="M9:M10"/>
    <mergeCell ref="M11:M12"/>
    <mergeCell ref="M13:M14"/>
    <mergeCell ref="M16:M17"/>
    <mergeCell ref="M18:M19"/>
    <mergeCell ref="M20:M21"/>
    <mergeCell ref="M23:M24"/>
    <mergeCell ref="M25:M26"/>
    <mergeCell ref="M27:M28"/>
    <mergeCell ref="P4:P5"/>
    <mergeCell ref="P6:P10"/>
    <mergeCell ref="P11:P12"/>
    <mergeCell ref="P18:P19"/>
    <mergeCell ref="P20:P24"/>
    <mergeCell ref="P25:P26"/>
    <mergeCell ref="S7:S10"/>
    <mergeCell ref="S11:S20"/>
    <mergeCell ref="S21:S24"/>
    <mergeCell ref="V13:V17"/>
  </mergeCells>
  <dataValidations count="1">
    <dataValidation type="list" allowBlank="1" showInputMessage="1" showErrorMessage="1" sqref="D2:D41">
      <formula1>"位置,一,二,三,四,五,"</formula1>
    </dataValidation>
  </dataValidation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.8内战"/>
  <dimension ref="A1:S23"/>
  <sheetViews>
    <sheetView workbookViewId="0">
      <selection activeCell="A1" sqref="A1"/>
    </sheetView>
  </sheetViews>
  <sheetFormatPr defaultColWidth="14" defaultRowHeight="18" customHeight="1"/>
  <cols>
    <col min="6" max="6" width="36.5546875" customWidth="1"/>
  </cols>
  <sheetData>
    <row r="1" ht="16" spans="1:6">
      <c r="A1" s="84"/>
      <c r="B1" s="84" t="s">
        <v>68</v>
      </c>
      <c r="C1" s="84" t="s">
        <v>70</v>
      </c>
      <c r="D1" s="84" t="s">
        <v>226</v>
      </c>
      <c r="E1" s="84" t="s">
        <v>227</v>
      </c>
      <c r="F1" s="84" t="s">
        <v>74</v>
      </c>
    </row>
    <row r="2" ht="16" spans="1:6">
      <c r="A2" s="85">
        <v>1</v>
      </c>
      <c r="B2" s="86" t="s">
        <v>83</v>
      </c>
      <c r="C2" s="85">
        <v>9500</v>
      </c>
      <c r="D2" s="87" t="s">
        <v>97</v>
      </c>
      <c r="E2" s="92" t="s">
        <v>277</v>
      </c>
      <c r="F2" s="85" t="s">
        <v>228</v>
      </c>
    </row>
    <row r="3" ht="16" spans="1:10">
      <c r="A3" s="85">
        <v>2</v>
      </c>
      <c r="B3" s="54" t="s">
        <v>619</v>
      </c>
      <c r="C3" s="85">
        <v>9000</v>
      </c>
      <c r="D3" s="87" t="s">
        <v>238</v>
      </c>
      <c r="E3" s="92" t="s">
        <v>283</v>
      </c>
      <c r="F3" s="85"/>
      <c r="G3" s="93" t="s">
        <v>228</v>
      </c>
      <c r="H3" s="41"/>
      <c r="I3" s="68" t="s">
        <v>88</v>
      </c>
      <c r="J3" s="41"/>
    </row>
    <row r="4" ht="16" spans="1:16">
      <c r="A4" s="85">
        <v>3</v>
      </c>
      <c r="B4" s="86" t="s">
        <v>85</v>
      </c>
      <c r="C4" s="85">
        <v>8600</v>
      </c>
      <c r="D4" s="87" t="s">
        <v>76</v>
      </c>
      <c r="E4" s="92" t="s">
        <v>283</v>
      </c>
      <c r="F4" s="85"/>
      <c r="G4" s="93" t="s">
        <v>83</v>
      </c>
      <c r="H4" s="67">
        <v>9500</v>
      </c>
      <c r="I4" s="70" t="s">
        <v>294</v>
      </c>
      <c r="J4" s="70">
        <v>7000</v>
      </c>
      <c r="K4" s="61" t="s">
        <v>228</v>
      </c>
      <c r="L4" s="58"/>
      <c r="M4" s="58"/>
      <c r="N4" s="1"/>
      <c r="O4" s="58"/>
      <c r="P4" s="58"/>
    </row>
    <row r="5" ht="16" spans="1:16">
      <c r="A5" s="85">
        <v>4</v>
      </c>
      <c r="B5" s="86" t="s">
        <v>101</v>
      </c>
      <c r="C5" s="85">
        <v>8000</v>
      </c>
      <c r="D5" s="87" t="s">
        <v>76</v>
      </c>
      <c r="E5" s="92" t="s">
        <v>283</v>
      </c>
      <c r="F5" s="41"/>
      <c r="G5" s="93" t="s">
        <v>362</v>
      </c>
      <c r="H5" s="67">
        <v>5500</v>
      </c>
      <c r="I5" s="70" t="s">
        <v>619</v>
      </c>
      <c r="J5" s="70">
        <v>9000</v>
      </c>
      <c r="K5" s="41"/>
      <c r="L5" s="59"/>
      <c r="M5" s="60"/>
      <c r="N5" s="51"/>
      <c r="O5" s="58"/>
      <c r="P5" s="58"/>
    </row>
    <row r="6" ht="16" spans="1:16">
      <c r="A6" s="85">
        <v>5</v>
      </c>
      <c r="B6" s="86" t="s">
        <v>294</v>
      </c>
      <c r="C6" s="85">
        <v>7000</v>
      </c>
      <c r="D6" s="87" t="s">
        <v>238</v>
      </c>
      <c r="E6" s="92" t="s">
        <v>283</v>
      </c>
      <c r="F6" s="85" t="s">
        <v>90</v>
      </c>
      <c r="G6" s="93" t="s">
        <v>118</v>
      </c>
      <c r="H6" s="67">
        <v>5620</v>
      </c>
      <c r="I6" s="70" t="s">
        <v>245</v>
      </c>
      <c r="J6" s="70">
        <v>6000</v>
      </c>
      <c r="K6" s="76" t="s">
        <v>787</v>
      </c>
      <c r="L6" s="58"/>
      <c r="M6" s="60"/>
      <c r="N6" s="61" t="s">
        <v>228</v>
      </c>
      <c r="O6" s="58"/>
      <c r="P6" s="58"/>
    </row>
    <row r="7" ht="16" spans="1:16">
      <c r="A7" s="85">
        <v>6</v>
      </c>
      <c r="B7" s="54">
        <v>21</v>
      </c>
      <c r="C7" s="85">
        <v>6800</v>
      </c>
      <c r="D7" s="87" t="s">
        <v>76</v>
      </c>
      <c r="E7" s="92" t="s">
        <v>283</v>
      </c>
      <c r="F7" s="85" t="s">
        <v>246</v>
      </c>
      <c r="G7" s="93" t="s">
        <v>124</v>
      </c>
      <c r="H7" s="67">
        <v>4620</v>
      </c>
      <c r="I7" s="70" t="s">
        <v>427</v>
      </c>
      <c r="J7" s="70">
        <v>4900</v>
      </c>
      <c r="L7" s="58"/>
      <c r="M7" s="62"/>
      <c r="N7" s="41"/>
      <c r="O7" s="59"/>
      <c r="P7" s="60"/>
    </row>
    <row r="8" ht="31" spans="1:17">
      <c r="A8" s="85">
        <v>7</v>
      </c>
      <c r="B8" s="54" t="s">
        <v>250</v>
      </c>
      <c r="C8" s="85">
        <v>6649</v>
      </c>
      <c r="D8" s="87" t="s">
        <v>241</v>
      </c>
      <c r="E8" s="92" t="s">
        <v>277</v>
      </c>
      <c r="F8" s="85" t="s">
        <v>819</v>
      </c>
      <c r="G8" s="93" t="s">
        <v>451</v>
      </c>
      <c r="H8" s="67">
        <v>4700</v>
      </c>
      <c r="I8" s="70" t="s">
        <v>143</v>
      </c>
      <c r="J8" s="70">
        <v>2000</v>
      </c>
      <c r="K8" s="77" t="s">
        <v>101</v>
      </c>
      <c r="L8" s="58"/>
      <c r="M8" s="60"/>
      <c r="N8" s="42" t="s">
        <v>787</v>
      </c>
      <c r="O8" s="58"/>
      <c r="P8" s="60"/>
      <c r="Q8" s="1" t="s">
        <v>730</v>
      </c>
    </row>
    <row r="9" ht="16" spans="1:19">
      <c r="A9" s="85">
        <v>8</v>
      </c>
      <c r="B9" s="54" t="s">
        <v>340</v>
      </c>
      <c r="C9" s="85">
        <v>6500</v>
      </c>
      <c r="D9" s="87" t="s">
        <v>236</v>
      </c>
      <c r="E9" s="92" t="s">
        <v>283</v>
      </c>
      <c r="F9" s="85" t="s">
        <v>342</v>
      </c>
      <c r="G9" s="93" t="s">
        <v>727</v>
      </c>
      <c r="H9" s="67">
        <f>SUM(H4:H8)</f>
        <v>29940</v>
      </c>
      <c r="I9" s="68" t="s">
        <v>727</v>
      </c>
      <c r="J9" s="68">
        <f>SUM(J4:J8)</f>
        <v>28900</v>
      </c>
      <c r="K9" s="41"/>
      <c r="L9" s="59"/>
      <c r="M9" s="58"/>
      <c r="O9" s="58"/>
      <c r="P9" s="60"/>
      <c r="Q9" s="61" t="s">
        <v>228</v>
      </c>
      <c r="R9" s="93" t="s">
        <v>83</v>
      </c>
      <c r="S9" s="67">
        <v>9500</v>
      </c>
    </row>
    <row r="10" ht="16" spans="1:19">
      <c r="A10" s="85">
        <v>9</v>
      </c>
      <c r="B10" s="54" t="s">
        <v>331</v>
      </c>
      <c r="C10" s="85">
        <v>6400</v>
      </c>
      <c r="D10" s="87" t="s">
        <v>76</v>
      </c>
      <c r="E10" s="92" t="s">
        <v>283</v>
      </c>
      <c r="F10" s="41"/>
      <c r="G10" s="94" t="s">
        <v>616</v>
      </c>
      <c r="H10" s="41"/>
      <c r="I10" s="72" t="s">
        <v>101</v>
      </c>
      <c r="J10" s="41"/>
      <c r="K10" s="78"/>
      <c r="L10" s="49"/>
      <c r="M10" s="49"/>
      <c r="O10" s="58"/>
      <c r="P10" s="60"/>
      <c r="Q10" s="41"/>
      <c r="R10" s="93" t="s">
        <v>362</v>
      </c>
      <c r="S10" s="67">
        <v>5500</v>
      </c>
    </row>
    <row r="11" ht="16" spans="1:19">
      <c r="A11" s="85">
        <v>10</v>
      </c>
      <c r="B11" s="54" t="s">
        <v>245</v>
      </c>
      <c r="C11" s="85">
        <v>6000</v>
      </c>
      <c r="D11" s="87" t="s">
        <v>97</v>
      </c>
      <c r="E11" s="92" t="s">
        <v>283</v>
      </c>
      <c r="F11" s="85" t="s">
        <v>112</v>
      </c>
      <c r="G11" s="94" t="s">
        <v>85</v>
      </c>
      <c r="H11" s="71">
        <v>8600</v>
      </c>
      <c r="I11" s="72" t="s">
        <v>101</v>
      </c>
      <c r="J11" s="72">
        <v>8000</v>
      </c>
      <c r="K11" s="61" t="s">
        <v>88</v>
      </c>
      <c r="L11" s="58"/>
      <c r="M11" s="58"/>
      <c r="O11" s="58"/>
      <c r="P11" s="62"/>
      <c r="Q11" s="41"/>
      <c r="R11" s="93" t="s">
        <v>118</v>
      </c>
      <c r="S11" s="67">
        <v>5620</v>
      </c>
    </row>
    <row r="12" ht="25.5" customHeight="1" spans="1:19">
      <c r="A12" s="85">
        <v>11</v>
      </c>
      <c r="B12" s="54" t="s">
        <v>118</v>
      </c>
      <c r="C12" s="85">
        <v>5620</v>
      </c>
      <c r="D12" s="87" t="s">
        <v>81</v>
      </c>
      <c r="E12" s="92" t="s">
        <v>283</v>
      </c>
      <c r="F12" s="85" t="s">
        <v>829</v>
      </c>
      <c r="G12" s="94" t="s">
        <v>340</v>
      </c>
      <c r="H12" s="71">
        <v>6500</v>
      </c>
      <c r="I12" s="72" t="s">
        <v>250</v>
      </c>
      <c r="J12" s="72">
        <v>6649</v>
      </c>
      <c r="K12" s="41"/>
      <c r="L12" s="59"/>
      <c r="M12" s="60"/>
      <c r="O12" s="58"/>
      <c r="P12" s="60"/>
      <c r="Q12" s="41"/>
      <c r="R12" s="93" t="s">
        <v>124</v>
      </c>
      <c r="S12" s="67">
        <v>4620</v>
      </c>
    </row>
    <row r="13" ht="16" spans="1:19">
      <c r="A13" s="85">
        <v>12</v>
      </c>
      <c r="B13" s="54" t="s">
        <v>362</v>
      </c>
      <c r="C13" s="85">
        <v>5500</v>
      </c>
      <c r="D13" s="87" t="s">
        <v>261</v>
      </c>
      <c r="E13" s="92" t="s">
        <v>275</v>
      </c>
      <c r="F13" s="85" t="s">
        <v>363</v>
      </c>
      <c r="G13" s="94">
        <v>21</v>
      </c>
      <c r="H13" s="71">
        <v>6800</v>
      </c>
      <c r="I13" s="72" t="s">
        <v>519</v>
      </c>
      <c r="J13" s="72">
        <v>3900</v>
      </c>
      <c r="K13" s="76" t="s">
        <v>787</v>
      </c>
      <c r="L13" s="58"/>
      <c r="M13" s="60"/>
      <c r="N13" s="77" t="s">
        <v>616</v>
      </c>
      <c r="O13" s="58"/>
      <c r="P13" s="60"/>
      <c r="R13" s="93" t="s">
        <v>451</v>
      </c>
      <c r="S13" s="67">
        <v>4700</v>
      </c>
    </row>
    <row r="14" ht="31" spans="1:16">
      <c r="A14" s="85">
        <v>13</v>
      </c>
      <c r="B14" s="54" t="s">
        <v>495</v>
      </c>
      <c r="C14" s="85">
        <v>5500</v>
      </c>
      <c r="D14" s="87" t="s">
        <v>135</v>
      </c>
      <c r="E14" s="92" t="s">
        <v>277</v>
      </c>
      <c r="F14" s="85" t="s">
        <v>497</v>
      </c>
      <c r="G14" s="94" t="s">
        <v>331</v>
      </c>
      <c r="H14" s="71">
        <v>6400</v>
      </c>
      <c r="I14" s="72" t="s">
        <v>162</v>
      </c>
      <c r="J14" s="72">
        <v>5000</v>
      </c>
      <c r="L14" s="58"/>
      <c r="M14" s="62"/>
      <c r="N14" s="41"/>
      <c r="O14" s="59"/>
      <c r="P14" s="58"/>
    </row>
    <row r="15" ht="16" spans="1:16">
      <c r="A15" s="85">
        <v>14</v>
      </c>
      <c r="B15" s="54" t="s">
        <v>162</v>
      </c>
      <c r="C15" s="85">
        <v>5000</v>
      </c>
      <c r="D15" s="87" t="s">
        <v>264</v>
      </c>
      <c r="E15" s="92" t="s">
        <v>283</v>
      </c>
      <c r="F15" s="41"/>
      <c r="G15" s="94" t="s">
        <v>527</v>
      </c>
      <c r="H15" s="71">
        <v>3800</v>
      </c>
      <c r="I15" s="72" t="s">
        <v>495</v>
      </c>
      <c r="J15" s="72">
        <v>5500</v>
      </c>
      <c r="K15" s="77" t="s">
        <v>616</v>
      </c>
      <c r="L15" s="58"/>
      <c r="M15" s="60"/>
      <c r="N15" s="1"/>
      <c r="O15" s="58"/>
      <c r="P15" s="58"/>
    </row>
    <row r="16" ht="16" spans="1:16">
      <c r="A16" s="85">
        <v>15</v>
      </c>
      <c r="B16" s="54" t="s">
        <v>427</v>
      </c>
      <c r="C16" s="85">
        <v>4900</v>
      </c>
      <c r="D16" s="87" t="s">
        <v>267</v>
      </c>
      <c r="E16" s="92" t="s">
        <v>283</v>
      </c>
      <c r="F16" s="85" t="s">
        <v>809</v>
      </c>
      <c r="G16" s="94" t="s">
        <v>727</v>
      </c>
      <c r="H16" s="71">
        <f>SUM(H11:H15)</f>
        <v>32100</v>
      </c>
      <c r="I16" s="72" t="s">
        <v>727</v>
      </c>
      <c r="J16" s="72">
        <f>SUM(J11:J15)</f>
        <v>29049</v>
      </c>
      <c r="K16" s="41"/>
      <c r="L16" s="59"/>
      <c r="M16" s="58"/>
      <c r="N16" s="1"/>
      <c r="O16" s="58"/>
      <c r="P16" s="58"/>
    </row>
    <row r="17" ht="16" spans="1:6">
      <c r="A17" s="85">
        <v>16</v>
      </c>
      <c r="B17" s="54" t="s">
        <v>451</v>
      </c>
      <c r="C17" s="85">
        <v>4700</v>
      </c>
      <c r="D17" s="87" t="s">
        <v>76</v>
      </c>
      <c r="E17" s="92" t="s">
        <v>277</v>
      </c>
      <c r="F17" s="85" t="s">
        <v>452</v>
      </c>
    </row>
    <row r="18" ht="16" spans="1:6">
      <c r="A18" s="85">
        <v>17</v>
      </c>
      <c r="B18" s="54" t="s">
        <v>124</v>
      </c>
      <c r="C18" s="85">
        <v>4620</v>
      </c>
      <c r="D18" s="87" t="s">
        <v>261</v>
      </c>
      <c r="E18" s="92" t="s">
        <v>283</v>
      </c>
      <c r="F18" s="41"/>
    </row>
    <row r="19" ht="16" spans="1:6">
      <c r="A19" s="85">
        <v>18</v>
      </c>
      <c r="B19" s="54" t="s">
        <v>519</v>
      </c>
      <c r="C19" s="85">
        <v>3900</v>
      </c>
      <c r="D19" s="87" t="s">
        <v>238</v>
      </c>
      <c r="E19" s="92" t="s">
        <v>277</v>
      </c>
      <c r="F19" s="85" t="s">
        <v>521</v>
      </c>
    </row>
    <row r="20" ht="16" spans="1:6">
      <c r="A20" s="85">
        <v>19</v>
      </c>
      <c r="B20" s="54" t="s">
        <v>527</v>
      </c>
      <c r="C20" s="85">
        <v>3800</v>
      </c>
      <c r="D20" s="87" t="s">
        <v>76</v>
      </c>
      <c r="E20" s="92" t="s">
        <v>277</v>
      </c>
      <c r="F20" s="85" t="s">
        <v>528</v>
      </c>
    </row>
    <row r="21" ht="31" spans="1:6">
      <c r="A21" s="88">
        <v>20</v>
      </c>
      <c r="B21" s="89" t="s">
        <v>143</v>
      </c>
      <c r="C21" s="88">
        <v>2000</v>
      </c>
      <c r="D21" s="90" t="s">
        <v>269</v>
      </c>
      <c r="E21" s="92" t="s">
        <v>275</v>
      </c>
      <c r="F21" s="85" t="s">
        <v>827</v>
      </c>
    </row>
    <row r="22" ht="16" spans="1:7">
      <c r="A22" s="54" t="s">
        <v>830</v>
      </c>
      <c r="B22" s="41"/>
      <c r="C22" s="41"/>
      <c r="D22" s="54" t="s">
        <v>831</v>
      </c>
      <c r="E22" s="4"/>
      <c r="F22" s="4"/>
      <c r="G22" s="1"/>
    </row>
    <row r="23" ht="15.2" spans="1:4">
      <c r="A23" s="91" t="s">
        <v>832</v>
      </c>
      <c r="B23" s="41"/>
      <c r="C23" s="41"/>
      <c r="D23" s="91" t="s">
        <v>833</v>
      </c>
    </row>
  </sheetData>
  <mergeCells count="16">
    <mergeCell ref="G3:H3"/>
    <mergeCell ref="I3:J3"/>
    <mergeCell ref="G10:H10"/>
    <mergeCell ref="I10:J10"/>
    <mergeCell ref="A22:C22"/>
    <mergeCell ref="A23:C23"/>
    <mergeCell ref="K4:K5"/>
    <mergeCell ref="K6:K7"/>
    <mergeCell ref="K8:K9"/>
    <mergeCell ref="K11:K12"/>
    <mergeCell ref="K13:K14"/>
    <mergeCell ref="K15:K16"/>
    <mergeCell ref="N6:N7"/>
    <mergeCell ref="N8:N12"/>
    <mergeCell ref="N13:N14"/>
    <mergeCell ref="Q9:Q12"/>
  </mergeCells>
  <dataValidations count="1">
    <dataValidation type="list" allowBlank="1" showInputMessage="1" showErrorMessage="1" sqref="E22 D2:D21">
      <formula1>"位置,一,二,三,四,五,"</formula1>
    </dataValidation>
  </dataValidation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66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8.4375" defaultRowHeight="15.2"/>
  <cols>
    <col min="1" max="1" width="10.6484375" style="3" customWidth="1"/>
    <col min="2" max="2" width="15.6484375" customWidth="1"/>
    <col min="3" max="3" width="22.2578125" customWidth="1"/>
    <col min="4" max="4" width="17.8125" style="3" customWidth="1"/>
    <col min="5" max="5" width="8.7734375" customWidth="1"/>
    <col min="6" max="6" width="24.0078125" customWidth="1"/>
    <col min="7" max="7" width="30.078125" style="3" customWidth="1"/>
    <col min="9" max="9" width="14.828125" customWidth="1"/>
    <col min="13" max="13" width="3.1015625" customWidth="1"/>
    <col min="15" max="16" width="4.453125" customWidth="1"/>
    <col min="18" max="19" width="4.453125" customWidth="1"/>
    <col min="20" max="20" width="13.671875"/>
    <col min="21" max="22" width="4.1796875" customWidth="1"/>
    <col min="23" max="23" width="13.671875" style="3"/>
  </cols>
  <sheetData>
    <row r="1" ht="16" spans="1:14">
      <c r="A1" s="64" t="s">
        <v>720</v>
      </c>
      <c r="B1" s="64" t="s">
        <v>834</v>
      </c>
      <c r="C1" s="64" t="s">
        <v>272</v>
      </c>
      <c r="D1" s="64" t="s">
        <v>68</v>
      </c>
      <c r="E1" s="64" t="s">
        <v>70</v>
      </c>
      <c r="F1" s="64" t="s">
        <v>226</v>
      </c>
      <c r="G1" s="64" t="s">
        <v>723</v>
      </c>
      <c r="I1" s="18" t="s">
        <v>835</v>
      </c>
      <c r="N1" s="35" t="s">
        <v>724</v>
      </c>
    </row>
    <row r="2" ht="16" spans="1:20">
      <c r="A2" s="1">
        <v>14</v>
      </c>
      <c r="B2" s="1">
        <v>289399762</v>
      </c>
      <c r="C2" s="1"/>
      <c r="D2" s="16" t="s">
        <v>618</v>
      </c>
      <c r="E2" s="16">
        <v>10000</v>
      </c>
      <c r="F2" s="4" t="s">
        <v>97</v>
      </c>
      <c r="G2" s="3" t="s">
        <v>836</v>
      </c>
      <c r="I2" s="67" t="s">
        <v>306</v>
      </c>
      <c r="J2" s="41"/>
      <c r="K2" s="68" t="s">
        <v>754</v>
      </c>
      <c r="L2" s="41"/>
      <c r="N2" s="61" t="s">
        <v>754</v>
      </c>
      <c r="O2" s="58"/>
      <c r="P2" s="58"/>
      <c r="Q2" s="1"/>
      <c r="R2" s="58"/>
      <c r="S2" s="58"/>
      <c r="T2" s="58"/>
    </row>
    <row r="3" ht="16" spans="1:20">
      <c r="A3" s="3">
        <v>7</v>
      </c>
      <c r="C3" s="1" t="s">
        <v>274</v>
      </c>
      <c r="D3" s="16" t="s">
        <v>83</v>
      </c>
      <c r="E3" s="16">
        <v>9500</v>
      </c>
      <c r="F3" s="4" t="s">
        <v>97</v>
      </c>
      <c r="G3" s="3" t="s">
        <v>228</v>
      </c>
      <c r="I3" s="69" t="s">
        <v>143</v>
      </c>
      <c r="J3" s="69">
        <v>2000</v>
      </c>
      <c r="K3" s="70" t="s">
        <v>144</v>
      </c>
      <c r="L3" s="70">
        <v>2600</v>
      </c>
      <c r="N3" s="41"/>
      <c r="O3" s="59"/>
      <c r="P3" s="60"/>
      <c r="Q3" s="51"/>
      <c r="R3" s="58"/>
      <c r="S3" s="58"/>
      <c r="T3" s="58"/>
    </row>
    <row r="4" ht="16" spans="1:20">
      <c r="A4" s="1">
        <v>26</v>
      </c>
      <c r="B4" s="1">
        <v>136801289</v>
      </c>
      <c r="C4" s="1" t="s">
        <v>279</v>
      </c>
      <c r="D4" s="16" t="s">
        <v>138</v>
      </c>
      <c r="E4" s="16">
        <v>8750</v>
      </c>
      <c r="F4" s="4" t="s">
        <v>76</v>
      </c>
      <c r="G4" s="3" t="s">
        <v>837</v>
      </c>
      <c r="I4" s="67" t="s">
        <v>83</v>
      </c>
      <c r="J4" s="67">
        <v>9500</v>
      </c>
      <c r="K4" s="70" t="s">
        <v>618</v>
      </c>
      <c r="L4" s="70">
        <v>10000</v>
      </c>
      <c r="N4" s="76" t="s">
        <v>787</v>
      </c>
      <c r="O4" s="58"/>
      <c r="P4" s="60"/>
      <c r="Q4" s="61" t="s">
        <v>754</v>
      </c>
      <c r="R4" s="58"/>
      <c r="S4" s="58"/>
      <c r="T4" s="58"/>
    </row>
    <row r="5" ht="16" spans="1:20">
      <c r="A5" s="3">
        <v>9</v>
      </c>
      <c r="B5" s="1"/>
      <c r="C5" s="1"/>
      <c r="D5" s="16" t="s">
        <v>85</v>
      </c>
      <c r="E5" s="16">
        <v>8500</v>
      </c>
      <c r="F5" s="4" t="s">
        <v>76</v>
      </c>
      <c r="G5" s="3" t="s">
        <v>616</v>
      </c>
      <c r="I5" s="67" t="s">
        <v>104</v>
      </c>
      <c r="J5" s="67">
        <v>7700</v>
      </c>
      <c r="K5" s="70" t="s">
        <v>118</v>
      </c>
      <c r="L5" s="70">
        <v>5620</v>
      </c>
      <c r="O5" s="58"/>
      <c r="P5" s="62"/>
      <c r="Q5" s="41"/>
      <c r="R5" s="59"/>
      <c r="S5" s="60"/>
      <c r="T5" s="63"/>
    </row>
    <row r="6" ht="16" spans="1:20">
      <c r="A6" s="1">
        <v>4</v>
      </c>
      <c r="B6" s="1">
        <v>106964785</v>
      </c>
      <c r="C6" s="1" t="s">
        <v>80</v>
      </c>
      <c r="D6" s="16" t="s">
        <v>80</v>
      </c>
      <c r="E6" s="16">
        <v>8300</v>
      </c>
      <c r="F6" s="4" t="s">
        <v>76</v>
      </c>
      <c r="G6" s="3" t="s">
        <v>838</v>
      </c>
      <c r="I6" s="67" t="s">
        <v>255</v>
      </c>
      <c r="J6" s="67">
        <v>5900</v>
      </c>
      <c r="K6" s="70" t="s">
        <v>340</v>
      </c>
      <c r="L6" s="70">
        <v>6500</v>
      </c>
      <c r="N6" s="77" t="s">
        <v>289</v>
      </c>
      <c r="O6" s="58"/>
      <c r="P6" s="60"/>
      <c r="Q6" s="42" t="s">
        <v>787</v>
      </c>
      <c r="R6" s="58"/>
      <c r="S6" s="60"/>
      <c r="T6" s="1"/>
    </row>
    <row r="7" ht="16" spans="1:20">
      <c r="A7" s="1">
        <v>17</v>
      </c>
      <c r="B7" s="1">
        <v>207704824</v>
      </c>
      <c r="C7" s="1" t="s">
        <v>304</v>
      </c>
      <c r="D7" s="16" t="s">
        <v>303</v>
      </c>
      <c r="E7" s="16">
        <v>8300</v>
      </c>
      <c r="F7" s="4" t="s">
        <v>241</v>
      </c>
      <c r="G7" s="3" t="s">
        <v>839</v>
      </c>
      <c r="I7" s="67" t="s">
        <v>123</v>
      </c>
      <c r="J7" s="67">
        <v>4500</v>
      </c>
      <c r="K7" s="68" t="s">
        <v>529</v>
      </c>
      <c r="L7" s="68">
        <v>4000</v>
      </c>
      <c r="N7" s="41"/>
      <c r="O7" s="59"/>
      <c r="P7" s="58"/>
      <c r="R7" s="58"/>
      <c r="S7" s="60"/>
      <c r="T7" s="66"/>
    </row>
    <row r="8" ht="16" spans="1:20">
      <c r="A8" s="1">
        <v>20</v>
      </c>
      <c r="B8" s="1">
        <v>187933845</v>
      </c>
      <c r="C8" s="1" t="s">
        <v>107</v>
      </c>
      <c r="D8" s="16" t="s">
        <v>107</v>
      </c>
      <c r="E8" s="16">
        <v>8100</v>
      </c>
      <c r="F8" s="4" t="s">
        <v>231</v>
      </c>
      <c r="G8" s="3" t="s">
        <v>840</v>
      </c>
      <c r="I8" s="67" t="s">
        <v>727</v>
      </c>
      <c r="J8" s="67">
        <f>SUM(J3:J7)</f>
        <v>29600</v>
      </c>
      <c r="K8" s="68" t="s">
        <v>727</v>
      </c>
      <c r="L8" s="68">
        <f>SUM(L3:L7)</f>
        <v>28720</v>
      </c>
      <c r="N8" s="78"/>
      <c r="O8" s="49"/>
      <c r="P8" s="49"/>
      <c r="R8" s="58"/>
      <c r="S8" s="60"/>
      <c r="T8" s="77" t="s">
        <v>754</v>
      </c>
    </row>
    <row r="9" ht="16" spans="1:21">
      <c r="A9" s="1">
        <v>25</v>
      </c>
      <c r="B9" s="1">
        <v>383560624</v>
      </c>
      <c r="C9" s="1" t="s">
        <v>314</v>
      </c>
      <c r="D9" s="16" t="s">
        <v>104</v>
      </c>
      <c r="E9" s="16">
        <v>7700</v>
      </c>
      <c r="F9" s="4" t="s">
        <v>261</v>
      </c>
      <c r="G9" s="3" t="s">
        <v>841</v>
      </c>
      <c r="I9" s="71" t="s">
        <v>755</v>
      </c>
      <c r="J9" s="41"/>
      <c r="K9" s="72" t="s">
        <v>289</v>
      </c>
      <c r="L9" s="41"/>
      <c r="N9" s="61" t="s">
        <v>306</v>
      </c>
      <c r="O9" s="58"/>
      <c r="P9" s="58"/>
      <c r="R9" s="58"/>
      <c r="S9" s="62"/>
      <c r="T9" s="41"/>
      <c r="U9" s="80"/>
    </row>
    <row r="10" ht="16" spans="1:21">
      <c r="A10" s="1">
        <v>18</v>
      </c>
      <c r="B10" s="1">
        <v>267719332</v>
      </c>
      <c r="C10" s="1"/>
      <c r="D10" s="16" t="s">
        <v>318</v>
      </c>
      <c r="E10" s="16">
        <v>7000</v>
      </c>
      <c r="F10" s="4" t="s">
        <v>243</v>
      </c>
      <c r="G10" s="3" t="s">
        <v>842</v>
      </c>
      <c r="I10" s="71" t="s">
        <v>550</v>
      </c>
      <c r="J10" s="71">
        <v>2900</v>
      </c>
      <c r="K10" s="72" t="s">
        <v>187</v>
      </c>
      <c r="L10" s="72">
        <v>2900</v>
      </c>
      <c r="N10" s="41"/>
      <c r="O10" s="59"/>
      <c r="P10" s="60"/>
      <c r="R10" s="58"/>
      <c r="S10" s="60"/>
      <c r="T10" s="79" t="s">
        <v>787</v>
      </c>
      <c r="U10" s="81"/>
    </row>
    <row r="11" ht="16" spans="1:21">
      <c r="A11" s="1">
        <v>19</v>
      </c>
      <c r="B11" s="1">
        <v>849019725</v>
      </c>
      <c r="C11" s="1" t="s">
        <v>341</v>
      </c>
      <c r="D11" s="16" t="s">
        <v>340</v>
      </c>
      <c r="E11" s="16">
        <v>6500</v>
      </c>
      <c r="F11" s="4" t="s">
        <v>236</v>
      </c>
      <c r="I11" s="71" t="s">
        <v>80</v>
      </c>
      <c r="J11" s="71">
        <v>8300</v>
      </c>
      <c r="K11" s="72" t="s">
        <v>362</v>
      </c>
      <c r="L11" s="72">
        <v>5500</v>
      </c>
      <c r="N11" s="76" t="s">
        <v>787</v>
      </c>
      <c r="O11" s="58"/>
      <c r="P11" s="60"/>
      <c r="Q11" s="61" t="s">
        <v>306</v>
      </c>
      <c r="R11" s="58"/>
      <c r="S11" s="60"/>
      <c r="U11" s="81"/>
    </row>
    <row r="12" spans="1:23">
      <c r="A12" s="3">
        <v>22</v>
      </c>
      <c r="D12" s="14" t="s">
        <v>330</v>
      </c>
      <c r="E12" s="14">
        <v>6500</v>
      </c>
      <c r="F12" s="4" t="s">
        <v>236</v>
      </c>
      <c r="G12" s="3" t="s">
        <v>843</v>
      </c>
      <c r="I12" s="71" t="s">
        <v>138</v>
      </c>
      <c r="J12" s="71">
        <v>8750</v>
      </c>
      <c r="K12" s="72" t="s">
        <v>330</v>
      </c>
      <c r="L12" s="72">
        <v>6500</v>
      </c>
      <c r="O12" s="58"/>
      <c r="P12" s="62"/>
      <c r="Q12" s="41"/>
      <c r="R12" s="59"/>
      <c r="S12" s="58"/>
      <c r="U12" s="81"/>
      <c r="W12" s="3" t="s">
        <v>730</v>
      </c>
    </row>
    <row r="13" ht="16" spans="1:24">
      <c r="A13" s="1">
        <v>16</v>
      </c>
      <c r="B13" s="1">
        <v>457383175</v>
      </c>
      <c r="C13" s="1" t="s">
        <v>245</v>
      </c>
      <c r="D13" s="16" t="s">
        <v>245</v>
      </c>
      <c r="E13" s="16">
        <v>6000</v>
      </c>
      <c r="F13" s="4" t="s">
        <v>97</v>
      </c>
      <c r="G13" s="3" t="s">
        <v>844</v>
      </c>
      <c r="I13" s="71" t="s">
        <v>495</v>
      </c>
      <c r="J13" s="71">
        <v>5500</v>
      </c>
      <c r="K13" s="72" t="s">
        <v>303</v>
      </c>
      <c r="L13" s="72">
        <v>8300</v>
      </c>
      <c r="N13" s="77" t="s">
        <v>800</v>
      </c>
      <c r="O13" s="58"/>
      <c r="P13" s="60"/>
      <c r="Q13" s="1">
        <v>8681417268</v>
      </c>
      <c r="R13" s="58"/>
      <c r="S13" s="58"/>
      <c r="U13" s="81"/>
      <c r="W13" s="82" t="s">
        <v>755</v>
      </c>
      <c r="X13" s="71" t="s">
        <v>550</v>
      </c>
    </row>
    <row r="14" ht="16" spans="1:24">
      <c r="A14" s="1">
        <v>3</v>
      </c>
      <c r="B14" s="1">
        <v>833682223</v>
      </c>
      <c r="C14" s="1" t="s">
        <v>400</v>
      </c>
      <c r="D14" s="16" t="s">
        <v>400</v>
      </c>
      <c r="E14" s="16">
        <v>5900</v>
      </c>
      <c r="F14" s="4" t="s">
        <v>97</v>
      </c>
      <c r="G14" s="3" t="s">
        <v>845</v>
      </c>
      <c r="I14" s="71" t="s">
        <v>519</v>
      </c>
      <c r="J14" s="71">
        <v>3900</v>
      </c>
      <c r="K14" s="72" t="s">
        <v>124</v>
      </c>
      <c r="L14" s="72">
        <v>4620</v>
      </c>
      <c r="N14" s="41"/>
      <c r="O14" s="59"/>
      <c r="P14" s="58"/>
      <c r="Q14" s="1"/>
      <c r="R14" s="58"/>
      <c r="S14" s="58"/>
      <c r="U14" s="81"/>
      <c r="W14" s="41"/>
      <c r="X14" s="71" t="s">
        <v>80</v>
      </c>
    </row>
    <row r="15" ht="16" spans="1:24">
      <c r="A15" s="1">
        <v>21</v>
      </c>
      <c r="B15" s="1">
        <v>255882400</v>
      </c>
      <c r="C15" s="1" t="s">
        <v>255</v>
      </c>
      <c r="D15" s="16" t="s">
        <v>255</v>
      </c>
      <c r="E15" s="16">
        <v>5900</v>
      </c>
      <c r="F15" s="4" t="s">
        <v>240</v>
      </c>
      <c r="G15" s="3" t="s">
        <v>846</v>
      </c>
      <c r="I15" s="71" t="s">
        <v>727</v>
      </c>
      <c r="J15" s="71">
        <f>SUM(J10:J14)</f>
        <v>29350</v>
      </c>
      <c r="K15" s="72" t="s">
        <v>727</v>
      </c>
      <c r="L15" s="72">
        <f>SUM(L10:L14)</f>
        <v>27820</v>
      </c>
      <c r="S15" s="58"/>
      <c r="U15" s="81"/>
      <c r="W15" s="41"/>
      <c r="X15" s="71" t="s">
        <v>138</v>
      </c>
    </row>
    <row r="16" ht="16" spans="1:24">
      <c r="A16" s="1">
        <v>2</v>
      </c>
      <c r="B16" s="1">
        <v>154029585</v>
      </c>
      <c r="C16" s="1" t="s">
        <v>118</v>
      </c>
      <c r="D16" s="16" t="s">
        <v>118</v>
      </c>
      <c r="E16" s="16">
        <v>5620</v>
      </c>
      <c r="F16" s="4" t="s">
        <v>81</v>
      </c>
      <c r="G16" s="3" t="s">
        <v>847</v>
      </c>
      <c r="I16" s="73" t="s">
        <v>757</v>
      </c>
      <c r="J16" s="41"/>
      <c r="K16" s="74" t="s">
        <v>753</v>
      </c>
      <c r="L16" s="41"/>
      <c r="N16" s="61" t="s">
        <v>755</v>
      </c>
      <c r="O16" s="58"/>
      <c r="P16" s="58"/>
      <c r="Q16" s="1"/>
      <c r="R16" s="58"/>
      <c r="S16" s="58"/>
      <c r="U16" s="81"/>
      <c r="V16" s="83"/>
      <c r="W16" s="41"/>
      <c r="X16" s="71" t="s">
        <v>495</v>
      </c>
    </row>
    <row r="17" ht="16" spans="1:24">
      <c r="A17" s="1">
        <v>6</v>
      </c>
      <c r="B17" s="1">
        <v>242392429</v>
      </c>
      <c r="C17" s="1" t="s">
        <v>496</v>
      </c>
      <c r="D17" s="16" t="s">
        <v>495</v>
      </c>
      <c r="E17" s="16">
        <v>5500</v>
      </c>
      <c r="F17" s="4" t="s">
        <v>135</v>
      </c>
      <c r="G17" s="3" t="s">
        <v>848</v>
      </c>
      <c r="I17" s="73" t="s">
        <v>546</v>
      </c>
      <c r="J17" s="73">
        <v>3000</v>
      </c>
      <c r="K17" s="74" t="s">
        <v>559</v>
      </c>
      <c r="L17" s="74">
        <v>3000</v>
      </c>
      <c r="N17" s="41"/>
      <c r="O17" s="59"/>
      <c r="P17" s="60"/>
      <c r="Q17" s="51"/>
      <c r="R17" s="58"/>
      <c r="S17" s="58"/>
      <c r="U17" s="81"/>
      <c r="W17" s="41"/>
      <c r="X17" s="71" t="s">
        <v>519</v>
      </c>
    </row>
    <row r="18" ht="16" spans="1:21">
      <c r="A18" s="1">
        <v>8</v>
      </c>
      <c r="B18" s="1">
        <v>400401267</v>
      </c>
      <c r="D18" s="16" t="s">
        <v>362</v>
      </c>
      <c r="E18" s="16">
        <v>5500</v>
      </c>
      <c r="F18" s="4" t="s">
        <v>261</v>
      </c>
      <c r="G18" s="3" t="s">
        <v>849</v>
      </c>
      <c r="I18" s="73" t="s">
        <v>85</v>
      </c>
      <c r="J18" s="73">
        <v>8500</v>
      </c>
      <c r="K18" s="74" t="s">
        <v>400</v>
      </c>
      <c r="L18" s="74">
        <v>5900</v>
      </c>
      <c r="N18" s="76" t="s">
        <v>787</v>
      </c>
      <c r="O18" s="58"/>
      <c r="P18" s="60"/>
      <c r="Q18" s="61" t="s">
        <v>755</v>
      </c>
      <c r="R18" s="58"/>
      <c r="S18" s="58"/>
      <c r="U18" s="81"/>
    </row>
    <row r="19" ht="16" spans="1:21">
      <c r="A19" s="1">
        <v>11</v>
      </c>
      <c r="B19" s="1">
        <v>320479234</v>
      </c>
      <c r="C19" s="1" t="s">
        <v>455</v>
      </c>
      <c r="D19" s="16" t="s">
        <v>124</v>
      </c>
      <c r="E19" s="16">
        <v>4620</v>
      </c>
      <c r="F19" s="4" t="s">
        <v>261</v>
      </c>
      <c r="G19" s="3" t="s">
        <v>850</v>
      </c>
      <c r="I19" s="73" t="s">
        <v>245</v>
      </c>
      <c r="J19" s="73">
        <v>6000</v>
      </c>
      <c r="K19" s="74" t="s">
        <v>107</v>
      </c>
      <c r="L19" s="74">
        <v>8100</v>
      </c>
      <c r="O19" s="58"/>
      <c r="P19" s="62"/>
      <c r="Q19" s="41"/>
      <c r="R19" s="59"/>
      <c r="S19" s="60"/>
      <c r="U19" s="81"/>
    </row>
    <row r="20" ht="20.4" spans="1:21">
      <c r="A20" s="1">
        <v>28</v>
      </c>
      <c r="B20" s="1">
        <v>370449300</v>
      </c>
      <c r="C20" s="65" t="s">
        <v>467</v>
      </c>
      <c r="D20" s="16" t="s">
        <v>123</v>
      </c>
      <c r="E20" s="16">
        <v>4500</v>
      </c>
      <c r="F20" s="4" t="s">
        <v>231</v>
      </c>
      <c r="G20" s="3" t="s">
        <v>851</v>
      </c>
      <c r="I20" s="73" t="s">
        <v>318</v>
      </c>
      <c r="J20" s="73">
        <v>7000</v>
      </c>
      <c r="K20" s="74" t="s">
        <v>615</v>
      </c>
      <c r="L20" s="74">
        <v>4400</v>
      </c>
      <c r="N20" s="77" t="s">
        <v>757</v>
      </c>
      <c r="O20" s="58"/>
      <c r="P20" s="60"/>
      <c r="Q20" s="42" t="s">
        <v>787</v>
      </c>
      <c r="R20" s="58"/>
      <c r="S20" s="60"/>
      <c r="U20" s="81"/>
    </row>
    <row r="21" ht="16" spans="1:21">
      <c r="A21" s="1">
        <v>10</v>
      </c>
      <c r="B21" s="1">
        <v>228914641</v>
      </c>
      <c r="C21" s="1" t="s">
        <v>489</v>
      </c>
      <c r="D21" s="16" t="s">
        <v>615</v>
      </c>
      <c r="E21" s="16">
        <v>4400</v>
      </c>
      <c r="F21" s="4" t="s">
        <v>261</v>
      </c>
      <c r="G21" s="3" t="s">
        <v>852</v>
      </c>
      <c r="I21" s="73" t="s">
        <v>485</v>
      </c>
      <c r="J21" s="73">
        <v>3900</v>
      </c>
      <c r="K21" s="74" t="s">
        <v>533</v>
      </c>
      <c r="L21" s="74">
        <v>3500</v>
      </c>
      <c r="N21" s="41"/>
      <c r="O21" s="59"/>
      <c r="P21" s="58"/>
      <c r="R21" s="58"/>
      <c r="S21" s="60"/>
      <c r="U21" s="81"/>
    </row>
    <row r="22" ht="16" spans="1:21">
      <c r="A22" s="1">
        <v>29</v>
      </c>
      <c r="B22" s="1">
        <v>308829979</v>
      </c>
      <c r="C22" s="1" t="s">
        <v>530</v>
      </c>
      <c r="D22" s="16" t="s">
        <v>529</v>
      </c>
      <c r="E22" s="16">
        <v>4000</v>
      </c>
      <c r="F22" s="4" t="s">
        <v>135</v>
      </c>
      <c r="G22" s="3" t="s">
        <v>853</v>
      </c>
      <c r="I22" s="73" t="s">
        <v>727</v>
      </c>
      <c r="J22" s="73">
        <f>SUM(J17:J21)</f>
        <v>28400</v>
      </c>
      <c r="K22" s="74" t="s">
        <v>727</v>
      </c>
      <c r="L22" s="74">
        <f>SUM(L17:L21)</f>
        <v>24900</v>
      </c>
      <c r="N22" s="78">
        <v>8681290871</v>
      </c>
      <c r="O22" s="49"/>
      <c r="P22" s="49"/>
      <c r="R22" s="58"/>
      <c r="S22" s="60"/>
      <c r="T22" s="77" t="s">
        <v>755</v>
      </c>
      <c r="U22" s="81"/>
    </row>
    <row r="23" ht="16" spans="1:21">
      <c r="A23" s="1">
        <v>15</v>
      </c>
      <c r="B23" s="1" t="s">
        <v>520</v>
      </c>
      <c r="C23" s="1"/>
      <c r="D23" s="16" t="s">
        <v>519</v>
      </c>
      <c r="E23" s="16">
        <v>3900</v>
      </c>
      <c r="F23" s="4" t="s">
        <v>263</v>
      </c>
      <c r="G23" s="3" t="s">
        <v>854</v>
      </c>
      <c r="N23" s="61" t="s">
        <v>753</v>
      </c>
      <c r="O23" s="58"/>
      <c r="P23" s="58"/>
      <c r="R23" s="58"/>
      <c r="S23" s="62"/>
      <c r="T23" s="41"/>
      <c r="U23" s="83"/>
    </row>
    <row r="24" ht="16" spans="1:20">
      <c r="A24" s="1">
        <v>32</v>
      </c>
      <c r="B24" s="1">
        <v>101126670</v>
      </c>
      <c r="C24" s="1" t="s">
        <v>485</v>
      </c>
      <c r="D24" s="16" t="s">
        <v>485</v>
      </c>
      <c r="E24" s="16">
        <v>3900</v>
      </c>
      <c r="F24" s="4" t="s">
        <v>268</v>
      </c>
      <c r="G24" s="3" t="s">
        <v>183</v>
      </c>
      <c r="N24" s="41"/>
      <c r="O24" s="59"/>
      <c r="P24" s="60"/>
      <c r="R24" s="58"/>
      <c r="S24" s="60"/>
      <c r="T24" s="34">
        <v>8681544875</v>
      </c>
    </row>
    <row r="25" ht="16" spans="1:20">
      <c r="A25" s="1">
        <v>23</v>
      </c>
      <c r="B25" s="1">
        <v>143957438</v>
      </c>
      <c r="C25" s="1"/>
      <c r="D25" s="16" t="s">
        <v>533</v>
      </c>
      <c r="E25" s="16">
        <v>3500</v>
      </c>
      <c r="F25" s="4" t="s">
        <v>81</v>
      </c>
      <c r="G25" s="3" t="s">
        <v>534</v>
      </c>
      <c r="N25" s="76" t="s">
        <v>787</v>
      </c>
      <c r="O25" s="58"/>
      <c r="P25" s="60"/>
      <c r="Q25" s="61" t="s">
        <v>753</v>
      </c>
      <c r="R25" s="58"/>
      <c r="S25" s="60"/>
      <c r="T25" s="58"/>
    </row>
    <row r="26" ht="16" spans="1:20">
      <c r="A26" s="1">
        <v>27</v>
      </c>
      <c r="B26" s="1">
        <v>136825778</v>
      </c>
      <c r="C26" s="1" t="s">
        <v>559</v>
      </c>
      <c r="D26" s="16" t="s">
        <v>559</v>
      </c>
      <c r="E26" s="16">
        <v>3000</v>
      </c>
      <c r="F26" s="4" t="s">
        <v>261</v>
      </c>
      <c r="G26"/>
      <c r="O26" s="58"/>
      <c r="P26" s="62"/>
      <c r="Q26" s="41"/>
      <c r="R26" s="59"/>
      <c r="S26" s="58"/>
      <c r="T26" s="58"/>
    </row>
    <row r="27" ht="16" spans="1:20">
      <c r="A27" s="1">
        <v>31</v>
      </c>
      <c r="B27" s="1">
        <v>139693504</v>
      </c>
      <c r="C27" s="1"/>
      <c r="D27" s="16" t="s">
        <v>546</v>
      </c>
      <c r="E27" s="16">
        <v>3000</v>
      </c>
      <c r="F27" s="4" t="s">
        <v>241</v>
      </c>
      <c r="N27" s="77" t="s">
        <v>800</v>
      </c>
      <c r="O27" s="58"/>
      <c r="P27" s="60"/>
      <c r="Q27" s="1">
        <v>8681366459</v>
      </c>
      <c r="R27" s="58"/>
      <c r="S27" s="58"/>
      <c r="T27" s="58"/>
    </row>
    <row r="28" ht="16" spans="1:20">
      <c r="A28" s="3">
        <v>5</v>
      </c>
      <c r="C28" s="1" t="s">
        <v>187</v>
      </c>
      <c r="D28" s="16" t="s">
        <v>187</v>
      </c>
      <c r="E28" s="16">
        <v>2900</v>
      </c>
      <c r="F28" s="4" t="s">
        <v>76</v>
      </c>
      <c r="N28" s="41"/>
      <c r="O28" s="59"/>
      <c r="P28" s="58"/>
      <c r="Q28" s="1"/>
      <c r="R28" s="58"/>
      <c r="S28" s="58"/>
      <c r="T28" s="58"/>
    </row>
    <row r="29" ht="16" spans="1:6">
      <c r="A29" s="1">
        <v>30</v>
      </c>
      <c r="B29" s="1">
        <v>137500879</v>
      </c>
      <c r="C29" s="1" t="s">
        <v>551</v>
      </c>
      <c r="D29" s="16" t="s">
        <v>550</v>
      </c>
      <c r="E29" s="16">
        <v>2900</v>
      </c>
      <c r="F29" s="4" t="s">
        <v>241</v>
      </c>
    </row>
    <row r="30" ht="16" spans="1:11">
      <c r="A30" s="1">
        <v>24</v>
      </c>
      <c r="B30" s="1">
        <v>124599786</v>
      </c>
      <c r="C30" s="1" t="s">
        <v>539</v>
      </c>
      <c r="D30" s="16" t="s">
        <v>144</v>
      </c>
      <c r="E30" s="16">
        <v>2600</v>
      </c>
      <c r="F30" s="4" t="s">
        <v>267</v>
      </c>
      <c r="I30" s="66"/>
      <c r="J30" s="1"/>
      <c r="K30" s="4"/>
    </row>
    <row r="31" ht="16" spans="1:11">
      <c r="A31" s="1">
        <v>12</v>
      </c>
      <c r="B31" s="1">
        <v>283980530</v>
      </c>
      <c r="C31" s="1" t="s">
        <v>561</v>
      </c>
      <c r="D31" s="16" t="s">
        <v>143</v>
      </c>
      <c r="E31" s="16">
        <v>2000</v>
      </c>
      <c r="F31" s="4" t="s">
        <v>269</v>
      </c>
      <c r="I31" s="66"/>
      <c r="J31" s="1"/>
      <c r="K31" s="4"/>
    </row>
    <row r="32" spans="1:11">
      <c r="A32" s="1"/>
      <c r="B32" s="1"/>
      <c r="C32" s="1"/>
      <c r="D32" s="1"/>
      <c r="E32" s="1"/>
      <c r="F32" s="4"/>
      <c r="I32" s="66"/>
      <c r="J32" s="1"/>
      <c r="K32" s="4"/>
    </row>
    <row r="33" spans="1:11">
      <c r="A33" s="1"/>
      <c r="B33" s="1"/>
      <c r="C33" s="1"/>
      <c r="D33" s="66"/>
      <c r="E33" s="1"/>
      <c r="F33" s="4"/>
      <c r="I33" s="66"/>
      <c r="J33" s="1"/>
      <c r="K33" s="4"/>
    </row>
    <row r="34" spans="1:11">
      <c r="A34" s="1"/>
      <c r="B34" s="1"/>
      <c r="C34" s="1"/>
      <c r="D34" s="1"/>
      <c r="E34" s="1"/>
      <c r="F34" s="4"/>
      <c r="G34" s="1"/>
      <c r="I34" s="66"/>
      <c r="J34" s="1"/>
      <c r="K34" s="4"/>
    </row>
    <row r="35" spans="1:11">
      <c r="A35" s="1"/>
      <c r="B35" s="1"/>
      <c r="D35" s="1"/>
      <c r="E35" s="1"/>
      <c r="F35" s="4"/>
      <c r="I35" s="66"/>
      <c r="J35" s="1"/>
      <c r="K35" s="4"/>
    </row>
    <row r="36" spans="1:11">
      <c r="A36" s="1"/>
      <c r="B36" s="1"/>
      <c r="C36" s="1"/>
      <c r="D36" s="1"/>
      <c r="E36" s="1"/>
      <c r="F36" s="4"/>
      <c r="I36" s="66"/>
      <c r="J36" s="1"/>
      <c r="K36" s="4"/>
    </row>
    <row r="37" spans="1:11">
      <c r="A37" s="1"/>
      <c r="B37" s="1"/>
      <c r="C37" s="1"/>
      <c r="D37" s="1"/>
      <c r="E37" s="1"/>
      <c r="F37" s="4"/>
      <c r="I37" s="66"/>
      <c r="J37" s="1"/>
      <c r="K37" s="4"/>
    </row>
    <row r="38" spans="1:11">
      <c r="A38" s="1"/>
      <c r="B38" s="1"/>
      <c r="C38" s="1"/>
      <c r="D38" s="1"/>
      <c r="E38" s="1"/>
      <c r="F38" s="4"/>
      <c r="I38" s="66"/>
      <c r="J38" s="1"/>
      <c r="K38" s="4"/>
    </row>
    <row r="39" spans="1:11">
      <c r="A39" s="1"/>
      <c r="B39" s="1"/>
      <c r="C39" s="1"/>
      <c r="D39" s="1"/>
      <c r="E39" s="1"/>
      <c r="F39" s="4"/>
      <c r="I39" s="66"/>
      <c r="J39" s="1"/>
      <c r="K39" s="4"/>
    </row>
    <row r="40" spans="1:11">
      <c r="A40" s="1"/>
      <c r="B40" s="1"/>
      <c r="C40" s="1"/>
      <c r="D40" s="1"/>
      <c r="E40" s="1"/>
      <c r="F40" s="4"/>
      <c r="I40" s="66"/>
      <c r="J40" s="1"/>
      <c r="K40" s="4"/>
    </row>
    <row r="41" spans="1:11">
      <c r="A41"/>
      <c r="C41" s="1"/>
      <c r="D41" s="1"/>
      <c r="E41" s="1"/>
      <c r="F41" s="4"/>
      <c r="I41" s="66"/>
      <c r="J41" s="1"/>
      <c r="K41" s="4"/>
    </row>
    <row r="42" spans="1:11">
      <c r="A42" s="1"/>
      <c r="B42" s="1"/>
      <c r="C42" s="1"/>
      <c r="D42" s="1"/>
      <c r="E42" s="1"/>
      <c r="F42" s="4"/>
      <c r="I42" s="66"/>
      <c r="J42" s="1"/>
      <c r="K42" s="4"/>
    </row>
    <row r="43" spans="1:11">
      <c r="A43" s="1"/>
      <c r="B43" s="1"/>
      <c r="C43" s="1"/>
      <c r="D43" s="1"/>
      <c r="E43" s="1"/>
      <c r="F43" s="4"/>
      <c r="I43" s="66"/>
      <c r="J43" s="1"/>
      <c r="K43" s="4"/>
    </row>
    <row r="44" spans="1:11">
      <c r="A44" s="1"/>
      <c r="B44" s="1"/>
      <c r="C44" s="1"/>
      <c r="D44" s="1"/>
      <c r="E44" s="1"/>
      <c r="F44" s="4"/>
      <c r="I44" s="66"/>
      <c r="J44" s="1"/>
      <c r="K44" s="4"/>
    </row>
    <row r="45" spans="1:11">
      <c r="A45" s="1"/>
      <c r="B45" s="1"/>
      <c r="C45" s="1"/>
      <c r="D45" s="1"/>
      <c r="E45" s="1"/>
      <c r="F45" s="4"/>
      <c r="I45" s="66"/>
      <c r="J45" s="1"/>
      <c r="K45" s="4"/>
    </row>
    <row r="46" spans="1:11">
      <c r="A46" s="1"/>
      <c r="B46" s="1"/>
      <c r="C46" s="1"/>
      <c r="D46" s="1"/>
      <c r="E46" s="1"/>
      <c r="F46" s="4"/>
      <c r="I46" s="66"/>
      <c r="J46" s="1"/>
      <c r="K46" s="4"/>
    </row>
    <row r="47" spans="1:11">
      <c r="A47" s="1"/>
      <c r="B47" s="1"/>
      <c r="C47" s="1"/>
      <c r="D47" s="1"/>
      <c r="E47" s="1"/>
      <c r="F47" s="4"/>
      <c r="I47" s="66"/>
      <c r="J47" s="1"/>
      <c r="K47" s="4"/>
    </row>
    <row r="48" spans="1:11">
      <c r="A48" s="1"/>
      <c r="B48" s="1"/>
      <c r="C48" s="1"/>
      <c r="D48" s="1"/>
      <c r="E48" s="1"/>
      <c r="F48" s="4"/>
      <c r="I48" s="66"/>
      <c r="J48" s="1"/>
      <c r="K48" s="4"/>
    </row>
    <row r="49" spans="1:11">
      <c r="A49" s="1"/>
      <c r="B49" s="1"/>
      <c r="C49" s="1"/>
      <c r="D49" s="1"/>
      <c r="E49" s="1"/>
      <c r="F49" s="4"/>
      <c r="I49" s="75"/>
      <c r="J49" s="3"/>
      <c r="K49" s="4"/>
    </row>
    <row r="50" spans="1:11">
      <c r="A50" s="1"/>
      <c r="B50" s="1"/>
      <c r="C50" s="1"/>
      <c r="D50" s="1"/>
      <c r="E50" s="1"/>
      <c r="F50" s="4"/>
      <c r="I50" s="66"/>
      <c r="J50" s="1"/>
      <c r="K50" s="4"/>
    </row>
    <row r="51" spans="1:11">
      <c r="A51" s="1"/>
      <c r="B51" s="1"/>
      <c r="C51" s="1"/>
      <c r="D51" s="1"/>
      <c r="E51" s="1"/>
      <c r="F51" s="4"/>
      <c r="I51" s="66"/>
      <c r="J51" s="1"/>
      <c r="K51" s="4"/>
    </row>
    <row r="52" spans="1:11">
      <c r="A52" s="1"/>
      <c r="B52" s="1"/>
      <c r="C52" s="1"/>
      <c r="D52" s="1"/>
      <c r="E52" s="1"/>
      <c r="F52" s="4"/>
      <c r="I52" s="66"/>
      <c r="J52" s="1"/>
      <c r="K52" s="4"/>
    </row>
    <row r="53" spans="1:11">
      <c r="A53" s="1"/>
      <c r="B53" s="1"/>
      <c r="C53" s="1"/>
      <c r="D53" s="1"/>
      <c r="E53" s="1"/>
      <c r="F53" s="4"/>
      <c r="I53" s="66"/>
      <c r="J53" s="1"/>
      <c r="K53" s="4"/>
    </row>
    <row r="54" spans="1:11">
      <c r="A54" s="1"/>
      <c r="B54" s="1"/>
      <c r="C54" s="1"/>
      <c r="D54" s="1"/>
      <c r="E54" s="1"/>
      <c r="F54" s="4"/>
      <c r="I54" s="66"/>
      <c r="J54" s="1"/>
      <c r="K54" s="4"/>
    </row>
    <row r="55" spans="1:11">
      <c r="A55" s="1"/>
      <c r="B55" s="1"/>
      <c r="C55" s="1"/>
      <c r="D55" s="1"/>
      <c r="E55" s="1"/>
      <c r="F55" s="4"/>
      <c r="I55" s="66"/>
      <c r="J55" s="1"/>
      <c r="K55" s="4"/>
    </row>
    <row r="56" spans="1:11">
      <c r="A56" s="1"/>
      <c r="B56" s="1"/>
      <c r="C56" s="1"/>
      <c r="D56" s="1"/>
      <c r="E56" s="1"/>
      <c r="F56" s="4"/>
      <c r="I56" s="66"/>
      <c r="J56" s="1"/>
      <c r="K56" s="4"/>
    </row>
    <row r="57" spans="1:11">
      <c r="A57" s="1"/>
      <c r="B57" s="1"/>
      <c r="C57" s="1"/>
      <c r="D57" s="1"/>
      <c r="E57" s="1"/>
      <c r="F57" s="4"/>
      <c r="I57" s="66"/>
      <c r="J57" s="1"/>
      <c r="K57" s="4"/>
    </row>
    <row r="58" spans="1:11">
      <c r="A58" s="1"/>
      <c r="B58" s="1"/>
      <c r="D58" s="1"/>
      <c r="E58" s="1"/>
      <c r="F58" s="4"/>
      <c r="I58" s="66"/>
      <c r="J58" s="1"/>
      <c r="K58" s="4"/>
    </row>
    <row r="59" spans="1:11">
      <c r="A59" s="1"/>
      <c r="B59" s="1"/>
      <c r="C59" s="1"/>
      <c r="D59" s="1"/>
      <c r="E59" s="1"/>
      <c r="F59" s="4"/>
      <c r="I59" s="66"/>
      <c r="J59" s="1"/>
      <c r="K59" s="4"/>
    </row>
    <row r="60" spans="1:6">
      <c r="A60" s="1"/>
      <c r="B60" s="1"/>
      <c r="C60" s="1"/>
      <c r="D60" s="1"/>
      <c r="E60" s="1"/>
      <c r="F60" s="4"/>
    </row>
    <row r="61" spans="1:6">
      <c r="A61" s="1"/>
      <c r="B61" s="1"/>
      <c r="C61" s="1"/>
      <c r="D61" s="1"/>
      <c r="E61" s="1"/>
      <c r="F61" s="4"/>
    </row>
    <row r="62" spans="1:6">
      <c r="A62" s="1"/>
      <c r="B62" s="1"/>
      <c r="D62" s="1"/>
      <c r="E62" s="1"/>
      <c r="F62" s="4"/>
    </row>
    <row r="63" spans="1:6">
      <c r="A63" s="1"/>
      <c r="B63" s="1"/>
      <c r="C63" s="1"/>
      <c r="D63" s="1"/>
      <c r="E63" s="1"/>
      <c r="F63" s="4"/>
    </row>
    <row r="64" spans="1:7">
      <c r="A64" s="1"/>
      <c r="B64" s="1"/>
      <c r="C64" s="1"/>
      <c r="D64" s="1"/>
      <c r="E64" s="1"/>
      <c r="F64" s="4"/>
      <c r="G64" s="1"/>
    </row>
    <row r="65" spans="1:7">
      <c r="A65" s="1"/>
      <c r="B65" s="1"/>
      <c r="C65" s="1"/>
      <c r="D65" s="1"/>
      <c r="E65" s="1"/>
      <c r="F65" s="4"/>
      <c r="G65" s="1"/>
    </row>
    <row r="66" spans="1:6">
      <c r="A66"/>
      <c r="D66" s="1"/>
      <c r="E66" s="1"/>
      <c r="F66" s="4"/>
    </row>
  </sheetData>
  <autoFilter ref="A1:G66">
    <sortState ref="A1:G66">
      <sortCondition ref="E1:E66" descending="1"/>
    </sortState>
    <extLst/>
  </autoFilter>
  <mergeCells count="30">
    <mergeCell ref="I1:L1"/>
    <mergeCell ref="N1:T1"/>
    <mergeCell ref="I2:J2"/>
    <mergeCell ref="K2:L2"/>
    <mergeCell ref="I9:J9"/>
    <mergeCell ref="K9:L9"/>
    <mergeCell ref="I16:J16"/>
    <mergeCell ref="K16:L16"/>
    <mergeCell ref="N2:N3"/>
    <mergeCell ref="N4:N5"/>
    <mergeCell ref="N6:N7"/>
    <mergeCell ref="N9:N10"/>
    <mergeCell ref="N11:N12"/>
    <mergeCell ref="N13:N14"/>
    <mergeCell ref="N16:N17"/>
    <mergeCell ref="N18:N19"/>
    <mergeCell ref="N20:N21"/>
    <mergeCell ref="N23:N24"/>
    <mergeCell ref="N25:N26"/>
    <mergeCell ref="N27:N28"/>
    <mergeCell ref="Q4:Q5"/>
    <mergeCell ref="Q6:Q10"/>
    <mergeCell ref="Q11:Q12"/>
    <mergeCell ref="Q18:Q19"/>
    <mergeCell ref="Q20:Q24"/>
    <mergeCell ref="Q25:Q26"/>
    <mergeCell ref="T8:T9"/>
    <mergeCell ref="T10:T21"/>
    <mergeCell ref="T22:T23"/>
    <mergeCell ref="W13:W17"/>
  </mergeCells>
  <dataValidations count="1">
    <dataValidation type="list" allowBlank="1" showInputMessage="1" showErrorMessage="1" sqref="F2:F66 K30:K59">
      <formula1>"位置,一,二,三,四,五,"</formula1>
    </dataValidation>
  </dataValidation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.6内战"/>
  <dimension ref="A1:V25"/>
  <sheetViews>
    <sheetView workbookViewId="0">
      <selection activeCell="A1" sqref="A1"/>
    </sheetView>
  </sheetViews>
  <sheetFormatPr defaultColWidth="14" defaultRowHeight="18" customHeight="1"/>
  <cols>
    <col min="1" max="3" width="13.671875" style="3"/>
    <col min="4" max="4" width="8.09375" style="3" customWidth="1"/>
    <col min="5" max="25" width="13.671875" style="3"/>
  </cols>
  <sheetData>
    <row r="1" ht="16" spans="1:5">
      <c r="A1" s="1" t="s">
        <v>834</v>
      </c>
      <c r="B1" s="1" t="s">
        <v>272</v>
      </c>
      <c r="C1" s="1" t="s">
        <v>68</v>
      </c>
      <c r="D1" s="1" t="s">
        <v>70</v>
      </c>
      <c r="E1" s="1" t="s">
        <v>226</v>
      </c>
    </row>
    <row r="2" ht="16" spans="1:13">
      <c r="A2" s="1">
        <v>106964785</v>
      </c>
      <c r="B2" s="1" t="s">
        <v>80</v>
      </c>
      <c r="C2" s="1" t="s">
        <v>80</v>
      </c>
      <c r="D2" s="1">
        <v>8300</v>
      </c>
      <c r="E2" s="4" t="s">
        <v>76</v>
      </c>
      <c r="G2" s="11" t="s">
        <v>855</v>
      </c>
      <c r="I2" s="14" t="s">
        <v>856</v>
      </c>
      <c r="K2" s="15" t="s">
        <v>857</v>
      </c>
      <c r="M2" s="10" t="s">
        <v>858</v>
      </c>
    </row>
    <row r="3" ht="16" spans="1:14">
      <c r="A3" s="1">
        <v>137306952</v>
      </c>
      <c r="C3" s="1" t="s">
        <v>299</v>
      </c>
      <c r="D3" s="1">
        <v>8780</v>
      </c>
      <c r="E3" s="4" t="s">
        <v>81</v>
      </c>
      <c r="G3" s="12" t="s">
        <v>83</v>
      </c>
      <c r="H3" s="12">
        <v>9500</v>
      </c>
      <c r="I3" s="16" t="s">
        <v>299</v>
      </c>
      <c r="J3" s="16">
        <v>8780</v>
      </c>
      <c r="K3" s="15" t="s">
        <v>616</v>
      </c>
      <c r="L3" s="15">
        <v>8500</v>
      </c>
      <c r="M3" s="10" t="s">
        <v>138</v>
      </c>
      <c r="N3" s="10">
        <v>8750</v>
      </c>
    </row>
    <row r="4" ht="16" spans="1:14">
      <c r="A4" s="1">
        <v>228914641</v>
      </c>
      <c r="B4" s="1" t="s">
        <v>489</v>
      </c>
      <c r="C4" s="1" t="s">
        <v>615</v>
      </c>
      <c r="D4" s="1">
        <v>4400</v>
      </c>
      <c r="E4" s="4" t="s">
        <v>261</v>
      </c>
      <c r="G4" s="11" t="s">
        <v>250</v>
      </c>
      <c r="H4" s="11">
        <v>6649</v>
      </c>
      <c r="I4" s="16">
        <v>21</v>
      </c>
      <c r="J4" s="16">
        <v>6800</v>
      </c>
      <c r="K4" s="15" t="s">
        <v>80</v>
      </c>
      <c r="L4" s="15">
        <v>8300</v>
      </c>
      <c r="M4" s="10" t="s">
        <v>318</v>
      </c>
      <c r="N4" s="10">
        <v>7000</v>
      </c>
    </row>
    <row r="5" ht="16" spans="1:14">
      <c r="A5" s="1">
        <v>143957438</v>
      </c>
      <c r="B5" s="1"/>
      <c r="C5" s="1" t="s">
        <v>533</v>
      </c>
      <c r="D5" s="1">
        <v>3500</v>
      </c>
      <c r="E5" s="4" t="s">
        <v>81</v>
      </c>
      <c r="G5" s="11" t="s">
        <v>362</v>
      </c>
      <c r="H5" s="11">
        <v>5500</v>
      </c>
      <c r="I5" s="16" t="s">
        <v>331</v>
      </c>
      <c r="J5" s="16">
        <v>6400</v>
      </c>
      <c r="K5" s="15" t="s">
        <v>453</v>
      </c>
      <c r="L5" s="15">
        <v>4000</v>
      </c>
      <c r="M5" s="10" t="s">
        <v>400</v>
      </c>
      <c r="N5" s="10">
        <v>6000</v>
      </c>
    </row>
    <row r="6" ht="16" spans="1:14">
      <c r="A6" s="1">
        <v>400401267</v>
      </c>
      <c r="C6" s="1" t="s">
        <v>362</v>
      </c>
      <c r="D6" s="1">
        <v>5500</v>
      </c>
      <c r="E6" s="4" t="s">
        <v>261</v>
      </c>
      <c r="G6" s="13" t="s">
        <v>495</v>
      </c>
      <c r="H6" s="11">
        <v>5500</v>
      </c>
      <c r="I6" s="17" t="s">
        <v>615</v>
      </c>
      <c r="J6" s="16">
        <v>4400</v>
      </c>
      <c r="K6" s="15" t="s">
        <v>617</v>
      </c>
      <c r="L6" s="15">
        <v>4700</v>
      </c>
      <c r="M6" s="10" t="s">
        <v>468</v>
      </c>
      <c r="N6" s="10">
        <v>4500</v>
      </c>
    </row>
    <row r="7" ht="31" spans="1:14">
      <c r="A7" s="1">
        <v>833682223</v>
      </c>
      <c r="B7" s="1"/>
      <c r="C7" s="1" t="s">
        <v>400</v>
      </c>
      <c r="D7" s="1">
        <v>6000</v>
      </c>
      <c r="E7" s="4" t="s">
        <v>97</v>
      </c>
      <c r="G7" s="13" t="s">
        <v>143</v>
      </c>
      <c r="H7" s="11">
        <v>2000</v>
      </c>
      <c r="I7" s="14" t="s">
        <v>533</v>
      </c>
      <c r="J7" s="14">
        <v>3500</v>
      </c>
      <c r="K7" s="13" t="s">
        <v>529</v>
      </c>
      <c r="L7" s="15">
        <v>4000</v>
      </c>
      <c r="M7" s="10" t="s">
        <v>511</v>
      </c>
      <c r="N7" s="10">
        <v>3700</v>
      </c>
    </row>
    <row r="8" ht="16" spans="1:13">
      <c r="A8" s="1">
        <v>242392429</v>
      </c>
      <c r="B8" s="1" t="s">
        <v>496</v>
      </c>
      <c r="C8" s="1" t="s">
        <v>495</v>
      </c>
      <c r="D8" s="1">
        <v>5500</v>
      </c>
      <c r="E8" s="4" t="s">
        <v>135</v>
      </c>
      <c r="G8" s="11" t="s">
        <v>859</v>
      </c>
      <c r="I8" s="14" t="s">
        <v>860</v>
      </c>
      <c r="K8" s="15" t="s">
        <v>861</v>
      </c>
      <c r="M8" s="10" t="s">
        <v>862</v>
      </c>
    </row>
    <row r="9" ht="16" spans="1:5">
      <c r="A9" s="1">
        <v>1248341912</v>
      </c>
      <c r="B9" s="1" t="s">
        <v>512</v>
      </c>
      <c r="C9" s="1" t="s">
        <v>511</v>
      </c>
      <c r="D9" s="1">
        <v>3700</v>
      </c>
      <c r="E9" s="4" t="s">
        <v>76</v>
      </c>
    </row>
    <row r="10" ht="16.75" spans="2:22">
      <c r="B10" s="1" t="s">
        <v>274</v>
      </c>
      <c r="C10" s="1" t="s">
        <v>83</v>
      </c>
      <c r="D10" s="1">
        <v>9500</v>
      </c>
      <c r="E10" s="4" t="s">
        <v>97</v>
      </c>
      <c r="K10" s="18" t="s">
        <v>863</v>
      </c>
      <c r="L10"/>
      <c r="M10"/>
      <c r="N10"/>
      <c r="O10" s="34"/>
      <c r="P10" s="35" t="s">
        <v>724</v>
      </c>
      <c r="Q10"/>
      <c r="R10"/>
      <c r="S10"/>
      <c r="T10"/>
      <c r="U10"/>
      <c r="V10"/>
    </row>
    <row r="11" ht="16.75" spans="1:22">
      <c r="A11" s="1">
        <v>352629086</v>
      </c>
      <c r="C11" s="1" t="s">
        <v>453</v>
      </c>
      <c r="D11" s="1">
        <v>4000</v>
      </c>
      <c r="E11" s="4" t="s">
        <v>89</v>
      </c>
      <c r="K11" s="19" t="s">
        <v>855</v>
      </c>
      <c r="L11" s="20"/>
      <c r="M11" s="36" t="s">
        <v>856</v>
      </c>
      <c r="N11" s="37"/>
      <c r="O11"/>
      <c r="P11" s="38" t="s">
        <v>855</v>
      </c>
      <c r="Q11" s="58"/>
      <c r="R11" s="58"/>
      <c r="S11" s="1"/>
      <c r="T11" s="58"/>
      <c r="U11" s="58"/>
      <c r="V11" s="58"/>
    </row>
    <row r="12" ht="51.75" customHeight="1" spans="1:22">
      <c r="A12" s="1">
        <v>267719332</v>
      </c>
      <c r="B12" s="1"/>
      <c r="C12" s="1" t="s">
        <v>318</v>
      </c>
      <c r="D12" s="1">
        <v>7000</v>
      </c>
      <c r="E12" s="4" t="s">
        <v>243</v>
      </c>
      <c r="K12" s="21" t="s">
        <v>83</v>
      </c>
      <c r="L12" s="22">
        <v>9500</v>
      </c>
      <c r="M12" s="39" t="s">
        <v>299</v>
      </c>
      <c r="N12" s="40">
        <v>8780</v>
      </c>
      <c r="O12"/>
      <c r="P12" s="41"/>
      <c r="Q12" s="59"/>
      <c r="R12" s="60"/>
      <c r="S12" s="51"/>
      <c r="T12" s="58"/>
      <c r="U12" s="58"/>
      <c r="V12" s="58"/>
    </row>
    <row r="13" ht="25.5" customHeight="1" spans="1:22">
      <c r="A13" s="1">
        <v>277443592</v>
      </c>
      <c r="B13" s="1">
        <v>21</v>
      </c>
      <c r="C13" s="1">
        <v>21</v>
      </c>
      <c r="D13" s="1">
        <v>6800</v>
      </c>
      <c r="E13" s="4" t="s">
        <v>76</v>
      </c>
      <c r="K13" s="23" t="s">
        <v>250</v>
      </c>
      <c r="L13" s="24">
        <v>6649</v>
      </c>
      <c r="M13" s="39">
        <v>21</v>
      </c>
      <c r="N13" s="40">
        <v>6800</v>
      </c>
      <c r="O13"/>
      <c r="P13" s="42" t="s">
        <v>787</v>
      </c>
      <c r="Q13" s="58"/>
      <c r="R13" s="60"/>
      <c r="S13" s="61" t="s">
        <v>855</v>
      </c>
      <c r="T13" s="58"/>
      <c r="U13" s="58"/>
      <c r="V13" s="58"/>
    </row>
    <row r="14" ht="16" spans="1:22">
      <c r="A14" s="1">
        <v>250268031</v>
      </c>
      <c r="B14" s="1"/>
      <c r="C14" s="1" t="s">
        <v>617</v>
      </c>
      <c r="D14" s="1">
        <v>4700</v>
      </c>
      <c r="E14" s="4" t="s">
        <v>76</v>
      </c>
      <c r="K14" s="23" t="s">
        <v>362</v>
      </c>
      <c r="L14" s="24">
        <v>5500</v>
      </c>
      <c r="M14" s="39" t="s">
        <v>331</v>
      </c>
      <c r="N14" s="40">
        <v>6400</v>
      </c>
      <c r="O14"/>
      <c r="P14"/>
      <c r="Q14" s="58"/>
      <c r="R14" s="62"/>
      <c r="S14" s="41"/>
      <c r="T14" s="59"/>
      <c r="U14" s="60"/>
      <c r="V14" s="63"/>
    </row>
    <row r="15" ht="16" spans="1:22">
      <c r="A15" s="1">
        <v>339124546</v>
      </c>
      <c r="B15" s="1" t="s">
        <v>468</v>
      </c>
      <c r="C15" s="1" t="s">
        <v>864</v>
      </c>
      <c r="D15" s="1">
        <v>4500</v>
      </c>
      <c r="E15" s="4" t="s">
        <v>469</v>
      </c>
      <c r="K15" s="23" t="s">
        <v>628</v>
      </c>
      <c r="L15" s="24">
        <v>4700</v>
      </c>
      <c r="M15" s="43" t="s">
        <v>615</v>
      </c>
      <c r="N15" s="44">
        <v>4400</v>
      </c>
      <c r="O15"/>
      <c r="P15" s="45" t="s">
        <v>858</v>
      </c>
      <c r="Q15" s="58"/>
      <c r="R15" s="60"/>
      <c r="S15" s="42" t="s">
        <v>787</v>
      </c>
      <c r="T15" s="58"/>
      <c r="U15" s="60"/>
      <c r="V15" s="1" t="s">
        <v>730</v>
      </c>
    </row>
    <row r="16" ht="16" spans="1:22">
      <c r="A16" s="1">
        <v>355328125</v>
      </c>
      <c r="B16" s="1" t="s">
        <v>250</v>
      </c>
      <c r="C16" s="1" t="s">
        <v>250</v>
      </c>
      <c r="D16" s="1">
        <v>6649</v>
      </c>
      <c r="E16" s="4" t="s">
        <v>241</v>
      </c>
      <c r="K16" s="25" t="s">
        <v>143</v>
      </c>
      <c r="L16" s="26">
        <v>2000</v>
      </c>
      <c r="M16" s="46" t="s">
        <v>533</v>
      </c>
      <c r="N16" s="47">
        <v>3500</v>
      </c>
      <c r="O16"/>
      <c r="P16" s="41"/>
      <c r="Q16" s="59"/>
      <c r="R16" s="58"/>
      <c r="S16"/>
      <c r="T16" s="58"/>
      <c r="U16" s="60"/>
      <c r="V16" s="61" t="s">
        <v>855</v>
      </c>
    </row>
    <row r="17" ht="16.75" spans="1:22">
      <c r="A17" s="1"/>
      <c r="B17" s="1" t="s">
        <v>279</v>
      </c>
      <c r="C17" s="1" t="s">
        <v>331</v>
      </c>
      <c r="D17" s="1">
        <v>6400</v>
      </c>
      <c r="E17" s="4" t="s">
        <v>76</v>
      </c>
      <c r="K17" s="27" t="s">
        <v>727</v>
      </c>
      <c r="L17" s="28">
        <f>SUM(L12:L16)</f>
        <v>28349</v>
      </c>
      <c r="M17" s="48" t="s">
        <v>727</v>
      </c>
      <c r="N17" s="47">
        <f>SUM(N12:N16)</f>
        <v>29880</v>
      </c>
      <c r="O17"/>
      <c r="P17" s="49"/>
      <c r="Q17" s="49"/>
      <c r="R17" s="49"/>
      <c r="S17"/>
      <c r="T17" s="58"/>
      <c r="U17" s="60"/>
      <c r="V17" s="41"/>
    </row>
    <row r="18" ht="16.75" spans="1:22">
      <c r="A18" s="1">
        <v>308829979</v>
      </c>
      <c r="B18" s="1" t="s">
        <v>530</v>
      </c>
      <c r="C18" s="1" t="s">
        <v>529</v>
      </c>
      <c r="D18" s="1">
        <v>4000</v>
      </c>
      <c r="E18" s="4" t="s">
        <v>135</v>
      </c>
      <c r="K18" s="29" t="s">
        <v>857</v>
      </c>
      <c r="L18" s="20"/>
      <c r="M18" s="50" t="s">
        <v>858</v>
      </c>
      <c r="N18" s="37"/>
      <c r="O18"/>
      <c r="P18" s="51"/>
      <c r="Q18" s="58"/>
      <c r="R18" s="58"/>
      <c r="S18"/>
      <c r="T18" s="58"/>
      <c r="U18" s="62"/>
      <c r="V18" s="41"/>
    </row>
    <row r="19" ht="16" spans="1:22">
      <c r="A19" s="1">
        <v>283980530</v>
      </c>
      <c r="B19" s="1" t="s">
        <v>561</v>
      </c>
      <c r="C19" s="1" t="s">
        <v>143</v>
      </c>
      <c r="D19" s="1">
        <v>2000</v>
      </c>
      <c r="E19" s="4" t="s">
        <v>269</v>
      </c>
      <c r="K19" s="30" t="s">
        <v>616</v>
      </c>
      <c r="L19" s="31">
        <v>8500</v>
      </c>
      <c r="M19" s="52" t="s">
        <v>138</v>
      </c>
      <c r="N19" s="53">
        <v>8750</v>
      </c>
      <c r="O19"/>
      <c r="P19" s="54" t="s">
        <v>856</v>
      </c>
      <c r="Q19" s="58"/>
      <c r="R19" s="58"/>
      <c r="S19"/>
      <c r="T19" s="58"/>
      <c r="U19" s="60"/>
      <c r="V19" s="41"/>
    </row>
    <row r="20" ht="15.2" spans="3:22">
      <c r="C20" s="3" t="s">
        <v>616</v>
      </c>
      <c r="D20" s="3">
        <v>8500</v>
      </c>
      <c r="E20" s="4" t="s">
        <v>76</v>
      </c>
      <c r="K20" s="30" t="s">
        <v>80</v>
      </c>
      <c r="L20" s="31">
        <v>8300</v>
      </c>
      <c r="M20" s="52" t="s">
        <v>318</v>
      </c>
      <c r="N20" s="53">
        <v>7000</v>
      </c>
      <c r="O20"/>
      <c r="P20" s="41"/>
      <c r="Q20" s="59"/>
      <c r="R20" s="60"/>
      <c r="S20"/>
      <c r="T20" s="58"/>
      <c r="U20" s="60"/>
      <c r="V20" s="58"/>
    </row>
    <row r="21" ht="16" spans="1:22">
      <c r="A21" s="1"/>
      <c r="B21" s="1" t="s">
        <v>279</v>
      </c>
      <c r="C21" s="1" t="s">
        <v>138</v>
      </c>
      <c r="D21" s="1">
        <v>8750</v>
      </c>
      <c r="E21" s="4" t="s">
        <v>76</v>
      </c>
      <c r="K21" s="25" t="s">
        <v>495</v>
      </c>
      <c r="L21" s="26">
        <v>5500</v>
      </c>
      <c r="M21" s="52" t="s">
        <v>400</v>
      </c>
      <c r="N21" s="53">
        <v>6000</v>
      </c>
      <c r="O21"/>
      <c r="P21" s="42" t="s">
        <v>787</v>
      </c>
      <c r="Q21" s="58"/>
      <c r="R21" s="60"/>
      <c r="S21" s="61" t="s">
        <v>857</v>
      </c>
      <c r="T21" s="58"/>
      <c r="U21" s="60"/>
      <c r="V21" s="58"/>
    </row>
    <row r="22" ht="15.2" spans="11:22">
      <c r="K22" s="30" t="s">
        <v>453</v>
      </c>
      <c r="L22" s="31">
        <v>4000</v>
      </c>
      <c r="M22" s="52" t="s">
        <v>468</v>
      </c>
      <c r="N22" s="53">
        <v>4500</v>
      </c>
      <c r="O22"/>
      <c r="P22"/>
      <c r="Q22" s="58"/>
      <c r="R22" s="62"/>
      <c r="S22" s="41"/>
      <c r="T22" s="59"/>
      <c r="U22" s="58"/>
      <c r="V22" s="58"/>
    </row>
    <row r="23" ht="15.2" spans="11:22">
      <c r="K23" s="25" t="s">
        <v>529</v>
      </c>
      <c r="L23" s="26">
        <v>4000</v>
      </c>
      <c r="M23" s="52" t="s">
        <v>511</v>
      </c>
      <c r="N23" s="53">
        <v>3700</v>
      </c>
      <c r="O23"/>
      <c r="P23" s="55" t="s">
        <v>857</v>
      </c>
      <c r="Q23" s="58"/>
      <c r="R23" s="60"/>
      <c r="S23" s="1"/>
      <c r="T23" s="58"/>
      <c r="U23" s="58"/>
      <c r="V23" s="58"/>
    </row>
    <row r="24" ht="15.95" spans="11:22">
      <c r="K24" s="32" t="s">
        <v>727</v>
      </c>
      <c r="L24" s="33">
        <f>SUM(L19:L23)</f>
        <v>30300</v>
      </c>
      <c r="M24" s="56" t="s">
        <v>727</v>
      </c>
      <c r="N24" s="57">
        <f>SUM(N19:N23)</f>
        <v>29950</v>
      </c>
      <c r="O24"/>
      <c r="P24" s="41"/>
      <c r="Q24" s="59"/>
      <c r="R24" s="58"/>
      <c r="S24" s="1"/>
      <c r="T24" s="58"/>
      <c r="U24" s="58"/>
      <c r="V24" s="58"/>
    </row>
    <row r="25" ht="15.95"/>
  </sheetData>
  <mergeCells count="24">
    <mergeCell ref="G2:H2"/>
    <mergeCell ref="I2:J2"/>
    <mergeCell ref="K2:L2"/>
    <mergeCell ref="M2:N2"/>
    <mergeCell ref="G8:H8"/>
    <mergeCell ref="I8:J8"/>
    <mergeCell ref="K8:L8"/>
    <mergeCell ref="M8:N8"/>
    <mergeCell ref="K10:N10"/>
    <mergeCell ref="P10:V10"/>
    <mergeCell ref="K11:L11"/>
    <mergeCell ref="M11:N11"/>
    <mergeCell ref="K18:L18"/>
    <mergeCell ref="M18:N18"/>
    <mergeCell ref="P11:P12"/>
    <mergeCell ref="P13:P14"/>
    <mergeCell ref="P15:P16"/>
    <mergeCell ref="P19:P20"/>
    <mergeCell ref="P21:P22"/>
    <mergeCell ref="P23:P24"/>
    <mergeCell ref="S13:S14"/>
    <mergeCell ref="S15:S20"/>
    <mergeCell ref="S21:S22"/>
    <mergeCell ref="V16:V19"/>
  </mergeCells>
  <dataValidations count="1">
    <dataValidation type="list" allowBlank="1" showInputMessage="1" showErrorMessage="1" sqref="E2:E21">
      <formula1>"位置,一,二,三,四,五,"</formula1>
    </dataValidation>
  </dataValidations>
  <pageMargins left="0.75" right="0.75" top="1" bottom="1" header="0.5" footer="0.5"/>
  <headerFooter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2.5内战"/>
  <dimension ref="A1:I200"/>
  <sheetViews>
    <sheetView workbookViewId="0">
      <selection activeCell="A1" sqref="A1"/>
    </sheetView>
  </sheetViews>
  <sheetFormatPr defaultColWidth="14" defaultRowHeight="18" customHeight="1"/>
  <cols>
    <col min="3" max="3" width="22.25" customWidth="1"/>
    <col min="4" max="4" width="53.953125" customWidth="1"/>
  </cols>
  <sheetData>
    <row r="1" ht="34.5" customHeight="1" spans="1:4">
      <c r="A1" s="3" t="s">
        <v>658</v>
      </c>
      <c r="B1" s="3" t="s">
        <v>70</v>
      </c>
      <c r="C1" s="3" t="s">
        <v>865</v>
      </c>
      <c r="D1" s="3" t="s">
        <v>866</v>
      </c>
    </row>
    <row r="2" ht="34.5" customHeight="1" spans="1:6">
      <c r="A2" s="1" t="s">
        <v>520</v>
      </c>
      <c r="B2" s="1">
        <v>3900</v>
      </c>
      <c r="C2" s="4" t="s">
        <v>263</v>
      </c>
      <c r="D2" s="1" t="s">
        <v>854</v>
      </c>
      <c r="F2" t="s">
        <v>867</v>
      </c>
    </row>
    <row r="3" ht="34.5" customHeight="1" spans="1:8">
      <c r="A3" s="1" t="s">
        <v>543</v>
      </c>
      <c r="B3" s="1">
        <v>3200</v>
      </c>
      <c r="C3" s="4" t="s">
        <v>261</v>
      </c>
      <c r="D3" s="1" t="s">
        <v>545</v>
      </c>
      <c r="F3" s="5" t="s">
        <v>868</v>
      </c>
      <c r="H3" s="6" t="s">
        <v>869</v>
      </c>
    </row>
    <row r="4" ht="34.5" customHeight="1" spans="1:9">
      <c r="A4" s="1" t="s">
        <v>453</v>
      </c>
      <c r="B4" s="1">
        <v>4000</v>
      </c>
      <c r="C4" s="4" t="s">
        <v>89</v>
      </c>
      <c r="D4" s="1" t="s">
        <v>454</v>
      </c>
      <c r="F4" s="7" t="s">
        <v>520</v>
      </c>
      <c r="G4" s="7">
        <v>3900</v>
      </c>
      <c r="H4" s="8" t="s">
        <v>453</v>
      </c>
      <c r="I4" s="8">
        <v>4000</v>
      </c>
    </row>
    <row r="5" ht="34.5" customHeight="1" spans="1:9">
      <c r="A5" s="1" t="s">
        <v>618</v>
      </c>
      <c r="B5" s="1">
        <v>10000</v>
      </c>
      <c r="C5" s="4" t="s">
        <v>97</v>
      </c>
      <c r="D5" s="1" t="s">
        <v>235</v>
      </c>
      <c r="F5" s="7" t="s">
        <v>543</v>
      </c>
      <c r="G5" s="7">
        <v>3200</v>
      </c>
      <c r="H5" s="8" t="s">
        <v>362</v>
      </c>
      <c r="I5" s="8">
        <v>5500</v>
      </c>
    </row>
    <row r="6" ht="34.5" customHeight="1" spans="1:9">
      <c r="A6" s="1" t="s">
        <v>533</v>
      </c>
      <c r="B6" s="1">
        <v>3500</v>
      </c>
      <c r="C6" s="4" t="s">
        <v>81</v>
      </c>
      <c r="D6" s="1" t="s">
        <v>534</v>
      </c>
      <c r="F6" s="7" t="s">
        <v>618</v>
      </c>
      <c r="G6" s="7">
        <v>10000</v>
      </c>
      <c r="H6" s="8" t="s">
        <v>527</v>
      </c>
      <c r="I6" s="8">
        <v>3800</v>
      </c>
    </row>
    <row r="7" ht="34.5" customHeight="1" spans="1:9">
      <c r="A7" s="1" t="s">
        <v>546</v>
      </c>
      <c r="B7" s="1">
        <v>3000</v>
      </c>
      <c r="C7" s="4" t="s">
        <v>241</v>
      </c>
      <c r="D7" s="1" t="s">
        <v>547</v>
      </c>
      <c r="F7" s="7" t="s">
        <v>533</v>
      </c>
      <c r="G7" s="7">
        <v>3500</v>
      </c>
      <c r="H7" s="8" t="s">
        <v>143</v>
      </c>
      <c r="I7" s="8">
        <v>2000</v>
      </c>
    </row>
    <row r="8" ht="34.5" customHeight="1" spans="1:9">
      <c r="A8" s="1" t="s">
        <v>362</v>
      </c>
      <c r="B8" s="1">
        <v>5500</v>
      </c>
      <c r="C8" s="4" t="s">
        <v>261</v>
      </c>
      <c r="D8" s="1" t="s">
        <v>363</v>
      </c>
      <c r="F8" s="7" t="s">
        <v>546</v>
      </c>
      <c r="G8" s="7">
        <v>3000</v>
      </c>
      <c r="H8" s="9" t="s">
        <v>80</v>
      </c>
      <c r="I8" s="9">
        <v>8300</v>
      </c>
    </row>
    <row r="9" ht="34.5" customHeight="1" spans="1:9">
      <c r="A9" s="1" t="s">
        <v>527</v>
      </c>
      <c r="B9" s="1">
        <v>3800</v>
      </c>
      <c r="C9" s="4" t="s">
        <v>76</v>
      </c>
      <c r="D9" s="1" t="s">
        <v>528</v>
      </c>
      <c r="F9" s="10" t="s">
        <v>870</v>
      </c>
      <c r="G9" s="10">
        <v>4720</v>
      </c>
      <c r="H9" s="9" t="s">
        <v>870</v>
      </c>
      <c r="I9" s="9">
        <v>4720</v>
      </c>
    </row>
    <row r="10" ht="34.5" customHeight="1" spans="1:9">
      <c r="A10" s="1" t="s">
        <v>143</v>
      </c>
      <c r="B10" s="1">
        <v>2000</v>
      </c>
      <c r="C10" s="4" t="s">
        <v>269</v>
      </c>
      <c r="D10" s="1" t="s">
        <v>827</v>
      </c>
      <c r="F10" s="10" t="s">
        <v>727</v>
      </c>
      <c r="G10" s="10">
        <v>23600</v>
      </c>
      <c r="H10" s="9" t="s">
        <v>727</v>
      </c>
      <c r="I10" s="9">
        <v>23600</v>
      </c>
    </row>
    <row r="11" ht="34.5" customHeight="1" spans="1:3">
      <c r="A11" s="3" t="s">
        <v>80</v>
      </c>
      <c r="B11" s="3">
        <v>8300</v>
      </c>
      <c r="C11" s="4" t="s">
        <v>76</v>
      </c>
    </row>
    <row r="12" ht="34.5" customHeight="1"/>
    <row r="13" ht="34.5" customHeight="1"/>
    <row r="14" ht="34.5" customHeight="1"/>
    <row r="15" ht="34.5" customHeight="1"/>
    <row r="16" ht="34.5" customHeight="1"/>
    <row r="17" ht="34.5" customHeight="1"/>
    <row r="18" ht="34.5" customHeight="1"/>
    <row r="19" ht="34.5" customHeight="1"/>
    <row r="20" ht="34.5" customHeight="1"/>
    <row r="21" ht="34.5" customHeight="1"/>
    <row r="22" ht="34.5" customHeight="1"/>
    <row r="23" ht="34.5" customHeight="1"/>
    <row r="24" ht="34.5" customHeight="1"/>
    <row r="25" ht="34.5" customHeight="1"/>
    <row r="26" ht="34.5" customHeight="1"/>
    <row r="27" ht="34.5" customHeight="1"/>
    <row r="28" ht="34.5" customHeight="1"/>
    <row r="29" ht="34.5" customHeight="1"/>
    <row r="30" ht="34.5" customHeight="1"/>
    <row r="31" ht="34.5" customHeight="1"/>
    <row r="32" ht="34.5" customHeight="1"/>
    <row r="33" ht="34.5" customHeight="1"/>
    <row r="34" ht="34.5" customHeight="1"/>
    <row r="35" ht="34.5" customHeight="1"/>
    <row r="36" ht="34.5" customHeight="1"/>
    <row r="37" ht="34.5" customHeight="1"/>
    <row r="38" ht="34.5" customHeight="1"/>
    <row r="39" ht="34.5" customHeight="1"/>
    <row r="40" ht="34.5" customHeight="1"/>
    <row r="41" ht="34.5" customHeight="1"/>
    <row r="42" ht="34.5" customHeight="1"/>
    <row r="43" ht="34.5" customHeight="1"/>
    <row r="44" ht="34.5" customHeight="1"/>
    <row r="45" ht="34.5" customHeight="1"/>
    <row r="46" ht="34.5" customHeight="1"/>
    <row r="47" ht="34.5" customHeight="1"/>
    <row r="48" ht="34.5" customHeight="1"/>
    <row r="49" ht="34.5" customHeight="1"/>
    <row r="50" ht="34.5" customHeight="1"/>
    <row r="51" ht="34.5" customHeight="1"/>
    <row r="52" ht="34.5" customHeight="1"/>
    <row r="53" ht="34.5" customHeight="1"/>
    <row r="54" ht="34.5" customHeight="1"/>
    <row r="55" ht="34.5" customHeight="1"/>
    <row r="56" ht="34.5" customHeight="1"/>
    <row r="57" ht="34.5" customHeight="1"/>
    <row r="58" ht="34.5" customHeight="1"/>
    <row r="59" ht="34.5" customHeight="1"/>
    <row r="60" ht="34.5" customHeight="1"/>
    <row r="61" ht="34.5" customHeight="1"/>
    <row r="62" ht="34.5" customHeight="1"/>
    <row r="63" ht="34.5" customHeight="1"/>
    <row r="64" ht="34.5" customHeight="1"/>
    <row r="65" ht="34.5" customHeight="1"/>
    <row r="66" ht="34.5" customHeight="1"/>
    <row r="67" ht="34.5" customHeight="1"/>
    <row r="68" ht="34.5" customHeight="1"/>
    <row r="69" ht="34.5" customHeight="1"/>
    <row r="70" ht="34.5" customHeight="1"/>
    <row r="71" ht="34.5" customHeight="1"/>
    <row r="72" ht="34.5" customHeight="1"/>
    <row r="73" ht="34.5" customHeight="1"/>
    <row r="74" ht="34.5" customHeight="1"/>
    <row r="75" ht="34.5" customHeight="1"/>
    <row r="76" ht="34.5" customHeight="1"/>
    <row r="77" ht="34.5" customHeight="1"/>
    <row r="78" ht="34.5" customHeight="1"/>
    <row r="79" ht="34.5" customHeight="1"/>
    <row r="80" ht="34.5" customHeight="1"/>
    <row r="81" ht="34.5" customHeight="1"/>
    <row r="82" ht="34.5" customHeight="1"/>
    <row r="83" ht="34.5" customHeight="1"/>
    <row r="84" ht="34.5" customHeight="1"/>
    <row r="85" ht="34.5" customHeight="1"/>
    <row r="86" ht="34.5" customHeight="1"/>
    <row r="87" ht="34.5" customHeight="1"/>
    <row r="88" ht="34.5" customHeight="1"/>
    <row r="89" ht="34.5" customHeight="1"/>
    <row r="90" ht="34.5" customHeight="1"/>
    <row r="91" ht="34.5" customHeight="1"/>
    <row r="92" ht="34.5" customHeight="1"/>
    <row r="93" ht="34.5" customHeight="1"/>
    <row r="94" ht="34.5" customHeight="1"/>
    <row r="95" ht="34.5" customHeight="1"/>
    <row r="96" ht="34.5" customHeight="1"/>
    <row r="97" ht="34.5" customHeight="1"/>
    <row r="98" ht="34.5" customHeight="1"/>
    <row r="99" ht="34.5" customHeight="1"/>
    <row r="100" ht="34.5" customHeight="1"/>
    <row r="101" ht="34.5" customHeight="1"/>
    <row r="102" ht="34.5" customHeight="1"/>
    <row r="103" ht="34.5" customHeight="1"/>
    <row r="104" ht="34.5" customHeight="1"/>
    <row r="105" ht="34.5" customHeight="1"/>
    <row r="106" ht="34.5" customHeight="1"/>
    <row r="107" ht="34.5" customHeight="1"/>
    <row r="108" ht="34.5" customHeight="1"/>
    <row r="109" ht="34.5" customHeight="1"/>
    <row r="110" ht="34.5" customHeight="1"/>
    <row r="111" ht="34.5" customHeight="1"/>
    <row r="112" ht="34.5" customHeight="1"/>
    <row r="113" ht="34.5" customHeight="1"/>
    <row r="114" ht="34.5" customHeight="1"/>
    <row r="115" ht="34.5" customHeight="1"/>
    <row r="116" ht="34.5" customHeight="1"/>
    <row r="117" ht="34.5" customHeight="1"/>
    <row r="118" ht="34.5" customHeight="1"/>
    <row r="119" ht="34.5" customHeight="1"/>
    <row r="120" ht="34.5" customHeight="1"/>
    <row r="121" ht="34.5" customHeight="1"/>
    <row r="122" ht="34.5" customHeight="1"/>
    <row r="123" ht="34.5" customHeight="1"/>
    <row r="124" ht="34.5" customHeight="1"/>
    <row r="125" ht="34.5" customHeight="1"/>
    <row r="126" ht="34.5" customHeight="1"/>
    <row r="127" ht="34.5" customHeight="1"/>
    <row r="128" ht="34.5" customHeight="1"/>
    <row r="129" ht="34.5" customHeight="1"/>
    <row r="130" ht="34.5" customHeight="1"/>
    <row r="131" ht="34.5" customHeight="1"/>
    <row r="132" ht="34.5" customHeight="1"/>
    <row r="133" ht="34.5" customHeight="1"/>
    <row r="134" ht="34.5" customHeight="1"/>
    <row r="135" ht="34.5" customHeight="1"/>
    <row r="136" ht="34.5" customHeight="1"/>
    <row r="137" ht="34.5" customHeight="1"/>
    <row r="138" ht="34.5" customHeight="1"/>
    <row r="139" ht="34.5" customHeight="1"/>
    <row r="140" ht="34.5" customHeight="1"/>
    <row r="141" ht="34.5" customHeight="1"/>
    <row r="142" ht="34.5" customHeight="1"/>
    <row r="143" ht="34.5" customHeight="1"/>
    <row r="144" ht="34.5" customHeight="1"/>
    <row r="145" ht="34.5" customHeight="1"/>
    <row r="146" ht="34.5" customHeight="1"/>
    <row r="147" ht="34.5" customHeight="1"/>
    <row r="148" ht="34.5" customHeight="1"/>
    <row r="149" ht="34.5" customHeight="1"/>
    <row r="150" ht="34.5" customHeight="1"/>
    <row r="151" ht="34.5" customHeight="1"/>
    <row r="152" ht="34.5" customHeight="1"/>
    <row r="153" ht="34.5" customHeight="1"/>
    <row r="154" ht="34.5" customHeight="1"/>
    <row r="155" ht="34.5" customHeight="1"/>
    <row r="156" ht="34.5" customHeight="1"/>
    <row r="157" ht="34.5" customHeight="1"/>
    <row r="158" ht="34.5" customHeight="1"/>
    <row r="159" ht="34.5" customHeight="1"/>
    <row r="160" ht="34.5" customHeight="1"/>
    <row r="161" ht="34.5" customHeight="1"/>
    <row r="162" ht="34.5" customHeight="1"/>
    <row r="163" ht="34.5" customHeight="1"/>
    <row r="164" ht="34.5" customHeight="1"/>
    <row r="165" ht="34.5" customHeight="1"/>
    <row r="166" ht="34.5" customHeight="1"/>
    <row r="167" ht="34.5" customHeight="1"/>
    <row r="168" ht="34.5" customHeight="1"/>
    <row r="169" ht="34.5" customHeight="1"/>
    <row r="170" ht="34.5" customHeight="1"/>
    <row r="171" ht="34.5" customHeight="1"/>
    <row r="172" ht="34.5" customHeight="1"/>
    <row r="173" ht="34.5" customHeight="1"/>
    <row r="174" ht="34.5" customHeight="1"/>
    <row r="175" ht="34.5" customHeight="1"/>
    <row r="176" ht="34.5" customHeight="1"/>
    <row r="177" ht="34.5" customHeight="1"/>
    <row r="178" ht="34.5" customHeight="1"/>
    <row r="179" ht="34.5" customHeight="1"/>
    <row r="180" ht="34.5" customHeight="1"/>
    <row r="181" ht="34.5" customHeight="1"/>
    <row r="182" ht="34.5" customHeight="1"/>
    <row r="183" ht="34.5" customHeight="1"/>
    <row r="184" ht="34.5" customHeight="1"/>
    <row r="185" ht="34.5" customHeight="1"/>
    <row r="186" ht="34.5" customHeight="1"/>
    <row r="187" ht="34.5" customHeight="1"/>
    <row r="188" ht="34.5" customHeight="1"/>
    <row r="189" ht="34.5" customHeight="1"/>
    <row r="190" ht="34.5" customHeight="1"/>
    <row r="191" ht="34.5" customHeight="1"/>
    <row r="192" ht="34.5" customHeight="1"/>
    <row r="193" ht="34.5" customHeight="1"/>
    <row r="194" ht="34.5" customHeight="1"/>
    <row r="195" ht="34.5" customHeight="1"/>
    <row r="196" ht="34.5" customHeight="1"/>
    <row r="197" ht="34.5" customHeight="1"/>
    <row r="198" ht="34.5" customHeight="1"/>
    <row r="199" ht="34.5" customHeight="1"/>
    <row r="200" ht="34.5" customHeight="1"/>
  </sheetData>
  <mergeCells count="2">
    <mergeCell ref="F3:G3"/>
    <mergeCell ref="H3:I3"/>
  </mergeCells>
  <dataValidations count="1">
    <dataValidation type="list" allowBlank="1" showInputMessage="1" showErrorMessage="1" sqref="C2:C11">
      <formula1>"位置,一,二,三,四,五,"</formula1>
    </dataValidation>
  </dataValidation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经验教训总结库"/>
  <dimension ref="A1:C200"/>
  <sheetViews>
    <sheetView workbookViewId="0">
      <selection activeCell="A1" sqref="A1"/>
    </sheetView>
  </sheetViews>
  <sheetFormatPr defaultColWidth="14" defaultRowHeight="18" customHeight="1" outlineLevelCol="2"/>
  <cols>
    <col min="1" max="1" width="10.921875" style="1" customWidth="1"/>
    <col min="2" max="2" width="69.4609375" style="1" customWidth="1"/>
    <col min="3" max="3" width="30.625" style="1" customWidth="1"/>
    <col min="4" max="27" width="13.671875" style="1"/>
  </cols>
  <sheetData>
    <row r="1" ht="39" customHeight="1" spans="1:3">
      <c r="A1" s="2" t="s">
        <v>871</v>
      </c>
      <c r="B1" s="2" t="s">
        <v>872</v>
      </c>
      <c r="C1" s="2" t="s">
        <v>873</v>
      </c>
    </row>
    <row r="2" ht="39" customHeight="1" spans="1:3">
      <c r="A2" s="1">
        <v>1</v>
      </c>
      <c r="B2" s="1" t="s">
        <v>874</v>
      </c>
      <c r="C2" s="1" t="s">
        <v>875</v>
      </c>
    </row>
    <row r="3" ht="39" customHeight="1" spans="1:2">
      <c r="A3" s="1">
        <v>2</v>
      </c>
      <c r="B3" s="1" t="s">
        <v>876</v>
      </c>
    </row>
    <row r="4" ht="39" customHeight="1" spans="1:1">
      <c r="A4" s="1">
        <v>3</v>
      </c>
    </row>
    <row r="5" ht="39" customHeight="1"/>
    <row r="6" ht="39" customHeight="1"/>
    <row r="7" ht="39" customHeight="1"/>
    <row r="8" ht="39" customHeight="1"/>
    <row r="9" ht="39" customHeight="1"/>
    <row r="10" ht="39" customHeight="1"/>
    <row r="11" ht="39" customHeight="1"/>
    <row r="12" ht="39" customHeight="1"/>
    <row r="13" ht="39" customHeight="1"/>
    <row r="14" ht="39" customHeight="1"/>
    <row r="15" ht="39" customHeight="1"/>
    <row r="16" ht="39" customHeight="1"/>
    <row r="17" ht="39" customHeight="1"/>
    <row r="18" ht="39" customHeight="1"/>
    <row r="19" ht="39" customHeight="1"/>
    <row r="20" ht="39" customHeight="1"/>
    <row r="21" ht="39" customHeight="1"/>
    <row r="22" ht="39" customHeight="1"/>
    <row r="23" ht="39" customHeight="1"/>
    <row r="24" ht="39" customHeight="1"/>
    <row r="25" ht="39" customHeight="1"/>
    <row r="26" ht="39" customHeight="1"/>
    <row r="27" ht="39" customHeight="1"/>
    <row r="28" ht="39" customHeight="1"/>
    <row r="29" ht="39" customHeight="1"/>
    <row r="30" ht="39" customHeight="1"/>
    <row r="31" ht="39" customHeight="1"/>
    <row r="32" ht="39" customHeight="1"/>
    <row r="33" ht="39" customHeight="1"/>
    <row r="34" ht="39" customHeight="1"/>
    <row r="35" ht="39" customHeight="1"/>
    <row r="36" ht="39" customHeight="1"/>
    <row r="37" ht="39" customHeight="1"/>
    <row r="38" ht="39" customHeight="1"/>
    <row r="39" ht="39" customHeight="1"/>
    <row r="40" ht="39" customHeight="1"/>
    <row r="41" ht="39" customHeight="1"/>
    <row r="42" ht="39" customHeight="1"/>
    <row r="43" ht="39" customHeight="1"/>
    <row r="44" ht="39" customHeight="1"/>
    <row r="45" ht="39" customHeight="1"/>
    <row r="46" ht="39" customHeight="1"/>
    <row r="47" ht="39" customHeight="1"/>
    <row r="48" ht="39" customHeight="1"/>
    <row r="49" ht="39" customHeight="1"/>
    <row r="50" ht="39" customHeight="1"/>
    <row r="51" ht="39" customHeight="1"/>
    <row r="52" ht="39" customHeight="1"/>
    <row r="53" ht="39" customHeight="1"/>
    <row r="54" ht="39" customHeight="1"/>
    <row r="55" ht="39" customHeight="1"/>
    <row r="56" ht="39" customHeight="1"/>
    <row r="57" ht="39" customHeight="1"/>
    <row r="58" ht="39" customHeight="1"/>
    <row r="59" ht="39" customHeight="1"/>
    <row r="60" ht="39" customHeight="1"/>
    <row r="61" ht="39" customHeight="1"/>
    <row r="62" ht="39" customHeight="1"/>
    <row r="63" ht="39" customHeight="1"/>
    <row r="64" ht="39" customHeight="1"/>
    <row r="65" ht="39" customHeight="1"/>
    <row r="66" ht="39" customHeight="1"/>
    <row r="67" ht="39" customHeight="1"/>
    <row r="68" ht="39" customHeight="1"/>
    <row r="69" ht="39" customHeight="1"/>
    <row r="70" ht="39" customHeight="1"/>
    <row r="71" ht="39" customHeight="1"/>
    <row r="72" ht="39" customHeight="1"/>
    <row r="73" ht="39" customHeight="1"/>
    <row r="74" ht="39" customHeight="1"/>
    <row r="75" ht="39" customHeight="1"/>
    <row r="76" ht="39" customHeight="1"/>
    <row r="77" ht="39" customHeight="1"/>
    <row r="78" ht="39" customHeight="1"/>
    <row r="79" ht="39" customHeight="1"/>
    <row r="80" ht="39" customHeight="1"/>
    <row r="81" ht="39" customHeight="1"/>
    <row r="82" ht="39" customHeight="1"/>
    <row r="83" ht="39" customHeight="1"/>
    <row r="84" ht="39" customHeight="1"/>
    <row r="85" ht="39" customHeight="1"/>
    <row r="86" ht="39" customHeight="1"/>
    <row r="87" ht="39" customHeight="1"/>
    <row r="88" ht="39" customHeight="1"/>
    <row r="89" ht="39" customHeight="1"/>
    <row r="90" ht="39" customHeight="1"/>
    <row r="91" ht="39" customHeight="1"/>
    <row r="92" ht="39" customHeight="1"/>
    <row r="93" ht="39" customHeight="1"/>
    <row r="94" ht="39" customHeight="1"/>
    <row r="95" ht="39" customHeight="1"/>
    <row r="96" ht="39" customHeight="1"/>
    <row r="97" ht="39" customHeight="1"/>
    <row r="98" ht="39" customHeight="1"/>
    <row r="99" ht="39" customHeight="1"/>
    <row r="100" ht="39" customHeight="1"/>
    <row r="101" ht="39" customHeight="1"/>
    <row r="102" ht="39" customHeight="1"/>
    <row r="103" ht="39" customHeight="1"/>
    <row r="104" ht="39" customHeight="1"/>
    <row r="105" ht="39" customHeight="1"/>
    <row r="106" ht="39" customHeight="1"/>
    <row r="107" ht="39" customHeight="1"/>
    <row r="108" ht="39" customHeight="1"/>
    <row r="109" ht="39" customHeight="1"/>
    <row r="110" ht="39" customHeight="1"/>
    <row r="111" ht="39" customHeight="1"/>
    <row r="112" ht="39" customHeight="1"/>
    <row r="113" ht="39" customHeight="1"/>
    <row r="114" ht="39" customHeight="1"/>
    <row r="115" ht="39" customHeight="1"/>
    <row r="116" ht="39" customHeight="1"/>
    <row r="117" ht="39" customHeight="1"/>
    <row r="118" ht="39" customHeight="1"/>
    <row r="119" ht="39" customHeight="1"/>
    <row r="120" ht="39" customHeight="1"/>
    <row r="121" ht="39" customHeight="1"/>
    <row r="122" ht="39" customHeight="1"/>
    <row r="123" ht="39" customHeight="1"/>
    <row r="124" ht="39" customHeight="1"/>
    <row r="125" ht="39" customHeight="1"/>
    <row r="126" ht="39" customHeight="1"/>
    <row r="127" ht="39" customHeight="1"/>
    <row r="128" ht="39" customHeight="1"/>
    <row r="129" ht="39" customHeight="1"/>
    <row r="130" ht="39" customHeight="1"/>
    <row r="131" ht="39" customHeight="1"/>
    <row r="132" ht="39" customHeight="1"/>
    <row r="133" ht="39" customHeight="1"/>
    <row r="134" ht="39" customHeight="1"/>
    <row r="135" ht="39" customHeight="1"/>
    <row r="136" ht="39" customHeight="1"/>
    <row r="137" ht="39" customHeight="1"/>
    <row r="138" ht="39" customHeight="1"/>
    <row r="139" ht="39" customHeight="1"/>
    <row r="140" ht="39" customHeight="1"/>
    <row r="141" ht="39" customHeight="1"/>
    <row r="142" ht="39" customHeight="1"/>
    <row r="143" ht="39" customHeight="1"/>
    <row r="144" ht="39" customHeight="1"/>
    <row r="145" ht="39" customHeight="1"/>
    <row r="146" ht="39" customHeight="1"/>
    <row r="147" ht="39" customHeight="1"/>
    <row r="148" ht="39" customHeight="1"/>
    <row r="149" ht="39" customHeight="1"/>
    <row r="150" ht="39" customHeight="1"/>
    <row r="151" ht="39" customHeight="1"/>
    <row r="152" ht="39" customHeight="1"/>
    <row r="153" ht="39" customHeight="1"/>
    <row r="154" ht="39" customHeight="1"/>
    <row r="155" ht="39" customHeight="1"/>
    <row r="156" ht="39" customHeight="1"/>
    <row r="157" ht="39" customHeight="1"/>
    <row r="158" ht="39" customHeight="1"/>
    <row r="159" ht="39" customHeight="1"/>
    <row r="160" ht="39" customHeight="1"/>
    <row r="161" ht="39" customHeight="1"/>
    <row r="162" ht="39" customHeight="1"/>
    <row r="163" ht="39" customHeight="1"/>
    <row r="164" ht="39" customHeight="1"/>
    <row r="165" ht="39" customHeight="1"/>
    <row r="166" ht="39" customHeight="1"/>
    <row r="167" ht="39" customHeight="1"/>
    <row r="168" ht="39" customHeight="1"/>
    <row r="169" ht="39" customHeight="1"/>
    <row r="170" ht="39" customHeight="1"/>
    <row r="171" ht="39" customHeight="1"/>
    <row r="172" ht="39" customHeight="1"/>
    <row r="173" ht="39" customHeight="1"/>
    <row r="174" ht="39" customHeight="1"/>
    <row r="175" ht="39" customHeight="1"/>
    <row r="176" ht="39" customHeight="1"/>
    <row r="177" ht="39" customHeight="1"/>
    <row r="178" ht="39" customHeight="1"/>
    <row r="179" ht="39" customHeight="1"/>
    <row r="180" ht="39" customHeight="1"/>
    <row r="181" ht="39" customHeight="1"/>
    <row r="182" ht="39" customHeight="1"/>
    <row r="183" ht="39" customHeight="1"/>
    <row r="184" ht="39" customHeight="1"/>
    <row r="185" ht="39" customHeight="1"/>
    <row r="186" ht="39" customHeight="1"/>
    <row r="187" ht="39" customHeight="1"/>
    <row r="188" ht="39" customHeight="1"/>
    <row r="189" ht="39" customHeight="1"/>
    <row r="190" ht="39" customHeight="1"/>
    <row r="191" ht="39" customHeight="1"/>
    <row r="192" ht="39" customHeight="1"/>
    <row r="193" ht="39" customHeight="1"/>
    <row r="194" ht="39" customHeight="1"/>
    <row r="195" ht="39" customHeight="1"/>
    <row r="196" ht="39" customHeight="1"/>
    <row r="197" ht="39" customHeight="1"/>
    <row r="198" ht="39" customHeight="1"/>
    <row r="199" ht="39" customHeight="1"/>
    <row r="200" ht="39" customHeight="1"/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  <HeadingPairs>
    <vt:vector size="2" baseType="variant">
      <vt:variant>
        <vt:lpstr>工作表</vt:lpstr>
      </vt:variant>
      <vt:variant>
        <vt:i4>29</vt:i4>
      </vt:variant>
    </vt:vector>
  </HeadingPairs>
  <TitlesOfParts>
    <vt:vector size="29" baseType="lpstr">
      <vt:lpstr>S2赛程</vt:lpstr>
      <vt:lpstr>S2拍卖</vt:lpstr>
      <vt:lpstr>微雨杯比赛规则</vt:lpstr>
      <vt:lpstr>S2名单</vt:lpstr>
      <vt:lpstr>S2</vt:lpstr>
      <vt:lpstr>选手名单</vt:lpstr>
      <vt:lpstr>微雨杯赛季记录</vt:lpstr>
      <vt:lpstr>S2名单(草稿)</vt:lpstr>
      <vt:lpstr>截至20260318参加过内战名单</vt:lpstr>
      <vt:lpstr>拍卖规则</vt:lpstr>
      <vt:lpstr>为爱发电记录表</vt:lpstr>
      <vt:lpstr>组委会名单</vt:lpstr>
      <vt:lpstr>0317内战</vt:lpstr>
      <vt:lpstr>0315内战</vt:lpstr>
      <vt:lpstr>0313内战</vt:lpstr>
      <vt:lpstr>0311内战</vt:lpstr>
      <vt:lpstr>0306内战</vt:lpstr>
      <vt:lpstr>0304内战</vt:lpstr>
      <vt:lpstr>0302内战</vt:lpstr>
      <vt:lpstr>2.13内战</vt:lpstr>
      <vt:lpstr>2.12内战</vt:lpstr>
      <vt:lpstr>2.11内战</vt:lpstr>
      <vt:lpstr>2.10内战</vt:lpstr>
      <vt:lpstr>2.9内战</vt:lpstr>
      <vt:lpstr>2.8内战</vt:lpstr>
      <vt:lpstr>2.7内战</vt:lpstr>
      <vt:lpstr>2.6内战</vt:lpstr>
      <vt:lpstr>2.5内战</vt:lpstr>
      <vt:lpstr>经验教训总结库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山鬼</cp:lastModifiedBy>
  <dcterms:created xsi:type="dcterms:W3CDTF">2026-03-27T00:36:00Z</dcterms:created>
  <dcterms:modified xsi:type="dcterms:W3CDTF">2026-03-26T16:48:40Z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869134C0FBE4F2169AF0C4697BC874D2_42</vt:lpwstr>
  </property>
  <property fmtid="{D5CDD505-2E9C-101B-9397-08002B2CF9AE}" pid="3" name="KSOProductBuildVer">
    <vt:lpwstr>2052-6.7.1.8828</vt:lpwstr>
  </property>
</Properties>
</file>